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style1.xml" ContentType="application/vnd.ms-office.chartstyle+xml"/>
  <Override PartName="/xl/charts/colors1.xml" ContentType="application/vnd.ms-office.chartcolorstyle+xml"/>
  <Override PartName="/xl/charts/chart7.xml" ContentType="application/vnd.openxmlformats-officedocument.drawingml.chart+xml"/>
  <Override PartName="/xl/charts/style2.xml" ContentType="application/vnd.ms-office.chartstyle+xml"/>
  <Override PartName="/xl/charts/colors2.xml" ContentType="application/vnd.ms-office.chartcolorstyle+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0" codeName="{A63ED3A1-9429-3D75-F2AA-CA7E51A8F3A1}"/>
  <workbookPr codeName="ThisWorkbook1" defaultThemeVersion="166925"/>
  <mc:AlternateContent xmlns:mc="http://schemas.openxmlformats.org/markup-compatibility/2006">
    <mc:Choice Requires="x15">
      <x15ac:absPath xmlns:x15ac="http://schemas.microsoft.com/office/spreadsheetml/2010/11/ac" url="/Users/guillaumefoure/Library/Containers/com.apple.mail/Data/Library/Mail Downloads/CCD8467E-971E-483C-B8FC-726A13F033B4/"/>
    </mc:Choice>
  </mc:AlternateContent>
  <xr:revisionPtr revIDLastSave="0" documentId="13_ncr:1_{DF5454A7-061D-C64B-97E1-827AFF42D749}" xr6:coauthVersionLast="47" xr6:coauthVersionMax="47" xr10:uidLastSave="{00000000-0000-0000-0000-000000000000}"/>
  <bookViews>
    <workbookView xWindow="-40780" yWindow="-10800" windowWidth="39700" windowHeight="26640" activeTab="2" xr2:uid="{00000000-000D-0000-FFFF-FFFF00000000}"/>
  </bookViews>
  <sheets>
    <sheet name="Menu" sheetId="4" r:id="rId1"/>
    <sheet name="Option Pricing" sheetId="1" r:id="rId2"/>
    <sheet name="Option Strategy" sheetId="2" r:id="rId3"/>
    <sheet name="Default &amp; Saved Strategies" sheetId="3" r:id="rId4"/>
  </sheets>
  <functionGroups builtInGroupCount="19"/>
  <definedNames>
    <definedName name="act">'Option Pricing'!$D$39</definedName>
    <definedName name="agreement">Menu!#REF!</definedName>
    <definedName name="BinPrice">'Option Pricing'!$C$51</definedName>
    <definedName name="Bins">'Option Strategy'!$S$22</definedName>
    <definedName name="BSPrice">'Option Pricing'!$E$17</definedName>
    <definedName name="cornerProductsTable">'Option Strategy'!$E$6</definedName>
    <definedName name="cornerTablePlots">'Option Strategy'!$U$3</definedName>
    <definedName name="countsInEachRange">'Option Strategy'!$U$18</definedName>
    <definedName name="currentStratName">'Option Strategy'!$I$17</definedName>
    <definedName name="CVaR">'Option Strategy'!$S$19</definedName>
    <definedName name="d">'Option Pricing'!$D$38</definedName>
    <definedName name="DaysYear">'Option Strategy'!$R$58</definedName>
    <definedName name="defaultStrat">'Option Strategy'!$I$14</definedName>
    <definedName name="delta">'Option Pricing'!$D$36</definedName>
    <definedName name="deltaT">'Option Strategy'!$T$58</definedName>
    <definedName name="deltaTType">'Option Strategy'!$U$58</definedName>
    <definedName name="IV">'Option Pricing'!$L$17</definedName>
    <definedName name="K">'Option Pricing'!$E$7</definedName>
    <definedName name="K0">'Option Strategy'!$E$37</definedName>
    <definedName name="LA">'Option Strategy'!$E$11</definedName>
    <definedName name="LC">'Option Strategy'!$E$7</definedName>
    <definedName name="LF">'Option Strategy'!$E$13</definedName>
    <definedName name="LP">'Option Strategy'!$E$9</definedName>
    <definedName name="MC">'Option Pricing'!$L$32</definedName>
    <definedName name="MCPnL">'Option Strategy'!$U$15</definedName>
    <definedName name="MCPrice">'Option Pricing'!$L$43</definedName>
    <definedName name="MCPriceS">'Option Strategy'!$U$16</definedName>
    <definedName name="MCStratPrice">'Option Strategy'!$S$15</definedName>
    <definedName name="MktPrice">'Option Pricing'!$L$11</definedName>
    <definedName name="n">'Option Pricing'!$E$33</definedName>
    <definedName name="Nb0">'Option Strategy'!$E$27</definedName>
    <definedName name="NbColClear">'Option Strategy'!$M$5</definedName>
    <definedName name="NbSimu">'Option Strategy'!$S$16</definedName>
    <definedName name="nsigma">'Option Strategy'!$K$57</definedName>
    <definedName name="Option">'Option Pricing'!$E$5</definedName>
    <definedName name="p0">'Option Strategy'!$E$39</definedName>
    <definedName name="pd">'Option Pricing'!$D$41</definedName>
    <definedName name="pu">'Option Pricing'!$D$40</definedName>
    <definedName name="q">'Option Pricing'!$E$9</definedName>
    <definedName name="q0">'Option Strategy'!$E$33</definedName>
    <definedName name="r0">'Option Strategy'!$E$32</definedName>
    <definedName name="rangeBounders">'Option Strategy'!$U$17</definedName>
    <definedName name="rankingValues">'Option Strategy'!$U$13</definedName>
    <definedName name="resT">'Option Strategy'!$Y$58</definedName>
    <definedName name="riskfree">'Option Pricing'!$E$8</definedName>
    <definedName name="rT">'Option Strategy'!$Y$58</definedName>
    <definedName name="S">'Option Pricing'!$E$6</definedName>
    <definedName name="S0">'Option Strategy'!$E$31</definedName>
    <definedName name="SA">'Option Strategy'!$E$12</definedName>
    <definedName name="SC">'Option Strategy'!$E$8</definedName>
    <definedName name="SF">'Option Strategy'!$E$14</definedName>
    <definedName name="shorted">'Option Strategy'!$I$25</definedName>
    <definedName name="sigma">'Option Pricing'!$E$10</definedName>
    <definedName name="sigma0">'Option Strategy'!$E$34</definedName>
    <definedName name="SP">'Option Strategy'!$E$10</definedName>
    <definedName name="stratDelta">'Option Strategy'!$S$5</definedName>
    <definedName name="stratGamma">'Option Strategy'!$S$6</definedName>
    <definedName name="stratInitialCost">'Option Strategy'!$S$12</definedName>
    <definedName name="stratNames">'Default &amp; Saved Strategies'!$E$9</definedName>
    <definedName name="stratPayoff">'Option Strategy'!$S$4</definedName>
    <definedName name="stratPnL">'Option Strategy'!$S$11</definedName>
    <definedName name="stratProductsTable">'Option Strategy'!$E$6</definedName>
    <definedName name="stratRho">'Option Strategy'!$S$9</definedName>
    <definedName name="stratTheta">'Option Strategy'!$S$8</definedName>
    <definedName name="stratVega">'Option Strategy'!$S$7</definedName>
    <definedName name="T">'Option Pricing'!$E$11</definedName>
    <definedName name="T0">'Option Strategy'!$E$38</definedName>
    <definedName name="tableCorner">'Option Strategy'!$E$30</definedName>
    <definedName name="tableCornerPlots">'Option Strategy'!$U$3</definedName>
    <definedName name="Total">'Option Strategy'!$E$16</definedName>
    <definedName name="TotalNbBins">'Option Strategy'!$T$22</definedName>
    <definedName name="TotalNbStrat">'Default &amp; Saved Strategies'!$E$7</definedName>
    <definedName name="Type">'Option Pricing'!$E$32</definedName>
    <definedName name="u">'Option Pricing'!$D$37</definedName>
    <definedName name="useTheoreticalPrices">'Option Strategy'!$L$25</definedName>
    <definedName name="VaR">'Option Strategy'!$S$18</definedName>
    <definedName name="VaRProba">'Option Strategy'!$S$20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38" i="2" l="1"/>
  <c r="F38" i="2"/>
  <c r="E7" i="3"/>
  <c r="S11" i="2" l="1"/>
  <c r="S8" i="2"/>
  <c r="S9" i="2"/>
  <c r="S7" i="2"/>
  <c r="S6" i="2"/>
  <c r="S5" i="2"/>
  <c r="S4" i="2"/>
  <c r="T18" i="2" l="1"/>
  <c r="P4" i="2"/>
  <c r="D14" i="1" a="1"/>
  <c r="D14" i="1" l="1"/>
  <c r="D443" i="3"/>
  <c r="D441" i="3"/>
  <c r="D440" i="3"/>
  <c r="D439" i="3"/>
  <c r="D438" i="3"/>
  <c r="D437" i="3"/>
  <c r="D436" i="3"/>
  <c r="D435" i="3"/>
  <c r="D434" i="3"/>
  <c r="D429" i="3"/>
  <c r="D427" i="3"/>
  <c r="D426" i="3"/>
  <c r="D425" i="3"/>
  <c r="D424" i="3"/>
  <c r="D423" i="3"/>
  <c r="D422" i="3"/>
  <c r="D421" i="3"/>
  <c r="D420" i="3"/>
  <c r="D415" i="3"/>
  <c r="D413" i="3"/>
  <c r="D412" i="3"/>
  <c r="D411" i="3"/>
  <c r="D410" i="3"/>
  <c r="D409" i="3"/>
  <c r="D408" i="3"/>
  <c r="D407" i="3"/>
  <c r="D406" i="3"/>
  <c r="D401" i="3"/>
  <c r="D399" i="3"/>
  <c r="D398" i="3"/>
  <c r="D397" i="3"/>
  <c r="D396" i="3"/>
  <c r="D395" i="3"/>
  <c r="D394" i="3"/>
  <c r="D393" i="3"/>
  <c r="D392" i="3"/>
  <c r="D387" i="3"/>
  <c r="D385" i="3"/>
  <c r="D384" i="3"/>
  <c r="D383" i="3"/>
  <c r="D382" i="3"/>
  <c r="D381" i="3"/>
  <c r="D380" i="3"/>
  <c r="D379" i="3"/>
  <c r="D378" i="3"/>
  <c r="D373" i="3"/>
  <c r="D371" i="3"/>
  <c r="D370" i="3"/>
  <c r="D369" i="3"/>
  <c r="D368" i="3"/>
  <c r="D367" i="3"/>
  <c r="D366" i="3"/>
  <c r="D365" i="3"/>
  <c r="D364" i="3"/>
  <c r="D359" i="3"/>
  <c r="D357" i="3"/>
  <c r="D356" i="3"/>
  <c r="D355" i="3"/>
  <c r="D354" i="3"/>
  <c r="D353" i="3"/>
  <c r="D352" i="3"/>
  <c r="D351" i="3"/>
  <c r="D350" i="3"/>
  <c r="D345" i="3"/>
  <c r="D343" i="3"/>
  <c r="D342" i="3"/>
  <c r="D341" i="3"/>
  <c r="D340" i="3"/>
  <c r="D339" i="3"/>
  <c r="D338" i="3"/>
  <c r="D337" i="3"/>
  <c r="D336" i="3"/>
  <c r="D331" i="3"/>
  <c r="D329" i="3"/>
  <c r="D328" i="3"/>
  <c r="D327" i="3"/>
  <c r="D326" i="3"/>
  <c r="D325" i="3"/>
  <c r="D324" i="3"/>
  <c r="D323" i="3"/>
  <c r="D322" i="3"/>
  <c r="D317" i="3"/>
  <c r="D315" i="3"/>
  <c r="D314" i="3"/>
  <c r="D313" i="3"/>
  <c r="D312" i="3"/>
  <c r="D311" i="3"/>
  <c r="D310" i="3"/>
  <c r="D309" i="3"/>
  <c r="D308" i="3"/>
  <c r="D303" i="3"/>
  <c r="D301" i="3"/>
  <c r="D300" i="3"/>
  <c r="D299" i="3"/>
  <c r="D298" i="3"/>
  <c r="D297" i="3"/>
  <c r="D296" i="3"/>
  <c r="D295" i="3"/>
  <c r="D294" i="3"/>
  <c r="D289" i="3"/>
  <c r="D287" i="3"/>
  <c r="D286" i="3"/>
  <c r="D285" i="3"/>
  <c r="D284" i="3"/>
  <c r="D283" i="3"/>
  <c r="D282" i="3"/>
  <c r="D281" i="3"/>
  <c r="D280" i="3"/>
  <c r="D275" i="3"/>
  <c r="D273" i="3"/>
  <c r="D272" i="3"/>
  <c r="D271" i="3"/>
  <c r="D270" i="3"/>
  <c r="D269" i="3"/>
  <c r="D268" i="3"/>
  <c r="D267" i="3"/>
  <c r="D266" i="3"/>
  <c r="D261" i="3"/>
  <c r="D259" i="3"/>
  <c r="D258" i="3"/>
  <c r="D257" i="3"/>
  <c r="D256" i="3"/>
  <c r="D255" i="3"/>
  <c r="D254" i="3"/>
  <c r="D253" i="3"/>
  <c r="D252" i="3"/>
  <c r="D219" i="3"/>
  <c r="D217" i="3"/>
  <c r="D216" i="3"/>
  <c r="D215" i="3"/>
  <c r="D214" i="3"/>
  <c r="D213" i="3"/>
  <c r="D212" i="3"/>
  <c r="D211" i="3"/>
  <c r="D210" i="3"/>
  <c r="D205" i="3"/>
  <c r="D203" i="3"/>
  <c r="D202" i="3"/>
  <c r="D201" i="3"/>
  <c r="D200" i="3"/>
  <c r="D199" i="3"/>
  <c r="D198" i="3"/>
  <c r="D197" i="3"/>
  <c r="D196" i="3"/>
  <c r="D191" i="3"/>
  <c r="D189" i="3"/>
  <c r="D188" i="3"/>
  <c r="D187" i="3"/>
  <c r="D186" i="3"/>
  <c r="D185" i="3"/>
  <c r="D184" i="3"/>
  <c r="D183" i="3"/>
  <c r="D182" i="3"/>
  <c r="D177" i="3"/>
  <c r="D175" i="3"/>
  <c r="D174" i="3"/>
  <c r="D173" i="3"/>
  <c r="D172" i="3"/>
  <c r="D171" i="3"/>
  <c r="D170" i="3"/>
  <c r="D169" i="3"/>
  <c r="D168" i="3"/>
  <c r="D163" i="3"/>
  <c r="D161" i="3"/>
  <c r="D160" i="3"/>
  <c r="D159" i="3"/>
  <c r="D158" i="3"/>
  <c r="D157" i="3"/>
  <c r="D156" i="3"/>
  <c r="D155" i="3"/>
  <c r="D154" i="3"/>
  <c r="D149" i="3"/>
  <c r="D147" i="3"/>
  <c r="D146" i="3"/>
  <c r="D145" i="3"/>
  <c r="D144" i="3"/>
  <c r="D143" i="3"/>
  <c r="D142" i="3"/>
  <c r="D141" i="3"/>
  <c r="D140" i="3"/>
  <c r="D135" i="3"/>
  <c r="D133" i="3"/>
  <c r="D132" i="3"/>
  <c r="D131" i="3"/>
  <c r="D130" i="3"/>
  <c r="D129" i="3"/>
  <c r="D128" i="3"/>
  <c r="D127" i="3"/>
  <c r="D126" i="3"/>
  <c r="D121" i="3"/>
  <c r="D119" i="3"/>
  <c r="D118" i="3"/>
  <c r="D117" i="3"/>
  <c r="D116" i="3"/>
  <c r="D115" i="3"/>
  <c r="D114" i="3"/>
  <c r="D113" i="3"/>
  <c r="D112" i="3"/>
  <c r="D107" i="3"/>
  <c r="D105" i="3"/>
  <c r="D104" i="3"/>
  <c r="D103" i="3"/>
  <c r="D102" i="3"/>
  <c r="D101" i="3"/>
  <c r="D100" i="3"/>
  <c r="D99" i="3"/>
  <c r="D98" i="3"/>
  <c r="D93" i="3"/>
  <c r="D91" i="3"/>
  <c r="D90" i="3"/>
  <c r="D89" i="3"/>
  <c r="D88" i="3"/>
  <c r="D87" i="3"/>
  <c r="D86" i="3"/>
  <c r="D85" i="3"/>
  <c r="D84" i="3"/>
  <c r="D79" i="3"/>
  <c r="D77" i="3"/>
  <c r="D76" i="3"/>
  <c r="D75" i="3"/>
  <c r="D74" i="3"/>
  <c r="D73" i="3"/>
  <c r="D72" i="3"/>
  <c r="D71" i="3"/>
  <c r="D70" i="3"/>
  <c r="D65" i="3"/>
  <c r="D63" i="3"/>
  <c r="D62" i="3"/>
  <c r="D61" i="3"/>
  <c r="D60" i="3"/>
  <c r="D59" i="3"/>
  <c r="D58" i="3"/>
  <c r="D57" i="3"/>
  <c r="D56" i="3"/>
  <c r="D51" i="3"/>
  <c r="D49" i="3"/>
  <c r="D48" i="3"/>
  <c r="D47" i="3"/>
  <c r="D46" i="3"/>
  <c r="D45" i="3"/>
  <c r="D44" i="3"/>
  <c r="D43" i="3"/>
  <c r="D42" i="3"/>
  <c r="D37" i="3"/>
  <c r="D35" i="3"/>
  <c r="D34" i="3"/>
  <c r="D33" i="3"/>
  <c r="D32" i="3"/>
  <c r="D31" i="3"/>
  <c r="D30" i="3"/>
  <c r="D29" i="3"/>
  <c r="D28" i="3"/>
  <c r="D21" i="3"/>
  <c r="D20" i="3"/>
  <c r="D19" i="3"/>
  <c r="E16" i="2"/>
  <c r="S10" i="1" a="1"/>
  <c r="S12" i="2" a="1"/>
  <c r="S10" i="1" l="1"/>
  <c r="S12" i="2"/>
  <c r="I50" i="3"/>
  <c r="H50" i="3"/>
  <c r="H36" i="3"/>
  <c r="H22" i="3"/>
  <c r="D23" i="3"/>
  <c r="D18" i="3"/>
  <c r="D17" i="3"/>
  <c r="D15" i="3"/>
  <c r="D14" i="3"/>
  <c r="E17" i="1" a="1"/>
  <c r="E17" i="1" l="1"/>
  <c r="J386" i="3"/>
  <c r="I386" i="3"/>
  <c r="H386" i="3"/>
  <c r="J372" i="3"/>
  <c r="I372" i="3"/>
  <c r="H372" i="3"/>
  <c r="I358" i="3"/>
  <c r="H358" i="3"/>
  <c r="I344" i="3"/>
  <c r="H344" i="3"/>
  <c r="H204" i="3"/>
  <c r="H176" i="3"/>
  <c r="H106" i="3"/>
  <c r="J64" i="3" l="1"/>
  <c r="I64" i="3"/>
  <c r="H64" i="3"/>
  <c r="H78" i="3"/>
  <c r="W58" i="2" l="1"/>
  <c r="E43" i="1" a="1"/>
  <c r="E43" i="1" s="1"/>
  <c r="Q33" i="1"/>
  <c r="Q34" i="1"/>
  <c r="R33" i="1"/>
  <c r="Q29" i="1"/>
  <c r="S33" i="1"/>
  <c r="S25" i="1"/>
  <c r="L17" i="1" a="1"/>
  <c r="L17" i="1" l="1"/>
  <c r="L30" i="1" l="1"/>
  <c r="L29" i="1"/>
  <c r="L28" i="1"/>
  <c r="L27" i="1"/>
  <c r="L26" i="1"/>
  <c r="L25" i="1"/>
  <c r="E11" i="1"/>
  <c r="L31" i="1" s="1"/>
  <c r="E31" i="1" l="1"/>
  <c r="E30" i="1"/>
  <c r="D36" i="1"/>
  <c r="D37" i="1" s="1"/>
  <c r="D38" i="1" s="1" a="1"/>
  <c r="D38" i="1" s="1"/>
  <c r="E25" i="1"/>
  <c r="L5" i="1"/>
  <c r="E29" i="1"/>
  <c r="E28" i="1"/>
  <c r="E27" i="1"/>
  <c r="E26" i="1"/>
  <c r="L10" i="1"/>
  <c r="L9" i="1"/>
  <c r="L8" i="1"/>
  <c r="L7" i="1"/>
  <c r="L6" i="1"/>
  <c r="D15" i="1" a="1"/>
  <c r="D39" i="1" l="1"/>
  <c r="D40" i="1" s="1"/>
  <c r="D41" i="1" s="1" a="1"/>
  <c r="D41" i="1" s="1"/>
  <c r="D15" i="1"/>
  <c r="S12" i="1" a="1"/>
  <c r="S12" i="1" l="1"/>
  <c r="S8" i="1"/>
  <c r="S6" i="1"/>
  <c r="S29" i="1" s="1"/>
  <c r="R34" i="1" l="1"/>
  <c r="S3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FOURÉ Guillaume</author>
  </authors>
  <commentList>
    <comment ref="B4" authorId="0" shapeId="0" xr:uid="{6A0C0330-F70D-4740-91A7-0635D5864A56}">
      <text>
        <r>
          <rPr>
            <b/>
            <sz val="10"/>
            <color rgb="FF000000"/>
            <rFont val="Tahoma"/>
            <family val="2"/>
          </rPr>
          <t>You will select the number of each product above each product's parameters</t>
        </r>
        <r>
          <rPr>
            <sz val="10"/>
            <color rgb="FF000000"/>
            <rFont val="Tahoma"/>
            <family val="2"/>
          </rPr>
          <t xml:space="preserve">
</t>
        </r>
      </text>
    </comment>
    <comment ref="B7" authorId="0" shapeId="0" xr:uid="{9437B02E-5F0C-0945-831D-35628F55A0BA}">
      <text>
        <r>
          <rPr>
            <sz val="10"/>
            <color rgb="FF000000"/>
            <rFont val="Tahoma"/>
            <family val="2"/>
          </rPr>
          <t xml:space="preserve">Can use </t>
        </r>
        <r>
          <rPr>
            <b/>
            <sz val="10"/>
            <color rgb="FF000000"/>
            <rFont val="Tahoma"/>
            <family val="2"/>
          </rPr>
          <t xml:space="preserve">the Binomial tree </t>
        </r>
        <r>
          <rPr>
            <sz val="10"/>
            <color rgb="FF000000"/>
            <rFont val="Tahoma"/>
            <family val="2"/>
          </rPr>
          <t xml:space="preserve">of the </t>
        </r>
        <r>
          <rPr>
            <b/>
            <sz val="10"/>
            <color rgb="FF000000"/>
            <rFont val="Tahoma"/>
            <family val="2"/>
          </rPr>
          <t xml:space="preserve">"Option Pricing" sheet </t>
        </r>
        <r>
          <rPr>
            <sz val="10"/>
            <color rgb="FF000000"/>
            <rFont val="Tahoma"/>
            <family val="2"/>
          </rPr>
          <t xml:space="preserve">to price an </t>
        </r>
        <r>
          <rPr>
            <b/>
            <sz val="10"/>
            <color rgb="FF000000"/>
            <rFont val="Tahoma"/>
            <family val="2"/>
          </rPr>
          <t xml:space="preserve">American option </t>
        </r>
        <r>
          <rPr>
            <sz val="10"/>
            <color rgb="FF000000"/>
            <rFont val="Tahoma"/>
            <family val="2"/>
          </rPr>
          <t>and manually put this price in this sheet. However, the possible early exercice will no be taken into account for the strategy pricing using MC, and greeks will still be calculated as for European options...</t>
        </r>
      </text>
    </comment>
    <comment ref="Q12" authorId="0" shapeId="0" xr:uid="{00F3E8C0-F884-2044-BB05-BA92BDEB9F7C}">
      <text>
        <r>
          <rPr>
            <b/>
            <sz val="10"/>
            <color rgb="FF000000"/>
            <rFont val="Tahoma"/>
            <family val="2"/>
          </rPr>
          <t xml:space="preserve">Net credit of the strategy:
</t>
        </r>
        <r>
          <rPr>
            <b/>
            <sz val="10"/>
            <color rgb="FF000000"/>
            <rFont val="Tahoma"/>
            <family val="2"/>
          </rPr>
          <t xml:space="preserve">
</t>
        </r>
        <r>
          <rPr>
            <b/>
            <sz val="10"/>
            <color rgb="FF000000"/>
            <rFont val="Tahoma"/>
            <family val="2"/>
          </rPr>
          <t xml:space="preserve">• Option premium * (+1 for Calls / -1 for Puts)
</t>
        </r>
        <r>
          <rPr>
            <b/>
            <sz val="10"/>
            <color rgb="FF000000"/>
            <rFont val="Tahoma"/>
            <family val="2"/>
          </rPr>
          <t xml:space="preserve">• Initial purchasing/selling price of the underlying security * (+1 Long / -1 Short)
</t>
        </r>
        <r>
          <rPr>
            <b/>
            <sz val="10"/>
            <color rgb="FF000000"/>
            <rFont val="Tahoma"/>
            <family val="2"/>
          </rPr>
          <t xml:space="preserve">• 0 for Futures contracts
</t>
        </r>
      </text>
    </comment>
    <comment ref="Q15" authorId="0" shapeId="0" xr:uid="{EF3D00EB-F080-4446-A666-CB16667E04BE}">
      <text>
        <r>
          <rPr>
            <b/>
            <sz val="10"/>
            <color rgb="FF000000"/>
            <rFont val="Tahoma"/>
            <family val="2"/>
          </rPr>
          <t>Click on the Monte Carlo Simulation button to actualise</t>
        </r>
        <r>
          <rPr>
            <sz val="10"/>
            <color rgb="FF000000"/>
            <rFont val="Tahoma"/>
            <family val="2"/>
          </rPr>
          <t xml:space="preserve">
</t>
        </r>
      </text>
    </comment>
    <comment ref="Q18" authorId="0" shapeId="0" xr:uid="{85705801-FD0C-C645-8730-D91B1EBBDA71}">
      <text>
        <r>
          <rPr>
            <sz val="10"/>
            <color rgb="FF000000"/>
            <rFont val="Tahoma"/>
            <family val="2"/>
          </rPr>
          <t xml:space="preserve">Gives the </t>
        </r>
        <r>
          <rPr>
            <b/>
            <sz val="10"/>
            <color rgb="FF000000"/>
            <rFont val="Tahoma"/>
            <family val="2"/>
          </rPr>
          <t>maximum possible loss expected at maturity</t>
        </r>
        <r>
          <rPr>
            <sz val="10"/>
            <color rgb="FF000000"/>
            <rFont val="Tahoma"/>
            <family val="2"/>
          </rPr>
          <t xml:space="preserve"> </t>
        </r>
        <r>
          <rPr>
            <b/>
            <sz val="10"/>
            <color rgb="FF000000"/>
            <rFont val="Tahoma"/>
            <family val="2"/>
          </rPr>
          <t> with probability (1-p)</t>
        </r>
        <r>
          <rPr>
            <sz val="10"/>
            <color rgb="FF000000"/>
            <rFont val="Tahoma"/>
            <family val="2"/>
          </rPr>
          <t xml:space="preserve">, that is after we exclude all worse outcomes whose combined probability is at most p.
</t>
        </r>
        <r>
          <rPr>
            <sz val="10"/>
            <color rgb="FF000000"/>
            <rFont val="Tahoma"/>
            <family val="2"/>
          </rPr>
          <t xml:space="preserve">This value is the approximate VaR: the |(p*N)th| value in the sorted list of the P&amp;Ls  obtained for the N Monte Carlo simulations (VaR = p*N worst loss = – p*N worst P&amp;L value)
</t>
        </r>
        <r>
          <rPr>
            <sz val="10"/>
            <color rgb="FF000000"/>
            <rFont val="Tahoma"/>
            <family val="2"/>
          </rPr>
          <t xml:space="preserve">
</t>
        </r>
        <r>
          <rPr>
            <b/>
            <sz val="10"/>
            <color rgb="FF000000"/>
            <rFont val="Tahoma"/>
            <family val="2"/>
          </rPr>
          <t xml:space="preserve">Ex.: </t>
        </r>
        <r>
          <rPr>
            <sz val="10"/>
            <color rgb="FF000000"/>
            <rFont val="Tahoma"/>
            <family val="2"/>
          </rPr>
          <t>if VaR(0.05) = 2, you expect a maximum loss of 2, with a 95% probability.</t>
        </r>
      </text>
    </comment>
    <comment ref="T18" authorId="0" shapeId="0" xr:uid="{3CB80D35-EFEF-5940-86BF-B0E2A61E0859}">
      <text>
        <r>
          <rPr>
            <sz val="10"/>
            <color rgb="FF000000"/>
            <rFont val="Tahoma"/>
            <family val="2"/>
          </rPr>
          <t>If the exact match of value at risk was not found, an approximation is given. Try to relaunch the simulation to have an exact match otherwise.</t>
        </r>
      </text>
    </comment>
    <comment ref="Q19" authorId="0" shapeId="0" xr:uid="{C85F5234-6715-EF41-8D3F-F77C0AB21708}">
      <text>
        <r>
          <rPr>
            <sz val="10"/>
            <color rgb="FF000000"/>
            <rFont val="Tahoma"/>
            <family val="2"/>
          </rPr>
          <t xml:space="preserve">CVaR = 1/p * (Average of the p*N worst losses)
</t>
        </r>
        <r>
          <rPr>
            <sz val="10"/>
            <color rgb="FF000000"/>
            <rFont val="Tahoma"/>
            <family val="2"/>
          </rPr>
          <t>where N is the number of simulations</t>
        </r>
      </text>
    </comment>
    <comment ref="D38" authorId="0" shapeId="0" xr:uid="{5891799F-AC3E-3E4F-8386-C89D651548AA}">
      <text>
        <r>
          <rPr>
            <b/>
            <sz val="10"/>
            <color rgb="FF000000"/>
            <rFont val="Tahoma"/>
            <family val="2"/>
          </rPr>
          <t xml:space="preserve">• Quickly change all T values by using the Reset button in the "Strateggy plots" area below
</t>
        </r>
        <r>
          <rPr>
            <b/>
            <sz val="10"/>
            <color rgb="FF000000"/>
            <rFont val="Tahoma"/>
            <family val="2"/>
          </rPr>
          <t xml:space="preserve">
</t>
        </r>
        <r>
          <rPr>
            <b/>
            <sz val="10"/>
            <color rgb="FF000000"/>
            <rFont val="Tahoma"/>
            <family val="2"/>
          </rPr>
          <t xml:space="preserve">• To quickly set all T values to a defined number of days/months/years:
</t>
        </r>
        <r>
          <rPr>
            <b/>
            <sz val="10"/>
            <color rgb="FF000000"/>
            <rFont val="Tahoma"/>
            <family val="2"/>
          </rPr>
          <t xml:space="preserve">
</t>
        </r>
        <r>
          <rPr>
            <b/>
            <sz val="10"/>
            <color rgb="FF000000"/>
            <rFont val="Tahoma"/>
            <family val="2"/>
          </rPr>
          <t xml:space="preserve">In the "Strategy plots" area below:
</t>
        </r>
        <r>
          <rPr>
            <b/>
            <sz val="10"/>
            <color rgb="FF000000"/>
            <rFont val="Tahoma"/>
            <family val="2"/>
          </rPr>
          <t xml:space="preserve">- Reset T to 0 
</t>
        </r>
        <r>
          <rPr>
            <b/>
            <sz val="10"/>
            <color rgb="FF000000"/>
            <rFont val="Tahoma"/>
            <family val="2"/>
          </rPr>
          <t>- Set the number of Day(s)/Month(s)/Year(s) required and hit the "+" button</t>
        </r>
        <r>
          <rPr>
            <sz val="10"/>
            <color rgb="FF000000"/>
            <rFont val="Tahoma"/>
            <family val="2"/>
          </rPr>
          <t xml:space="preserve">
</t>
        </r>
      </text>
    </comment>
    <comment ref="D39" authorId="0" shapeId="0" xr:uid="{FB5DA022-5BD8-2F4E-A3D7-AFA15AB1286A}">
      <text>
        <r>
          <rPr>
            <b/>
            <sz val="10"/>
            <color rgb="FF000000"/>
            <rFont val="Tahoma"/>
            <family val="2"/>
          </rPr>
          <t>A Futures Price can be calculated using the Default button</t>
        </r>
      </text>
    </comment>
    <comment ref="C41" authorId="0" shapeId="0" xr:uid="{F9EFC1E6-2630-8B47-8C72-C4A8D66F83B9}">
      <text>
        <r>
          <rPr>
            <b/>
            <sz val="10"/>
            <color rgb="FF000000"/>
            <rFont val="Tahoma"/>
            <family val="2"/>
          </rPr>
          <t>At expiration</t>
        </r>
        <r>
          <rPr>
            <sz val="10"/>
            <color rgb="FF000000"/>
            <rFont val="Tahoma"/>
            <family val="2"/>
          </rPr>
          <t xml:space="preserve">
</t>
        </r>
      </text>
    </comment>
    <comment ref="C42" authorId="0" shapeId="0" xr:uid="{7DE62EF9-EEA1-E140-8E28-00A877696AE2}">
      <text>
        <r>
          <rPr>
            <b/>
            <sz val="10"/>
            <color rgb="FF000000"/>
            <rFont val="Tahoma"/>
            <family val="2"/>
          </rPr>
          <t>Theoretical current P&amp;L</t>
        </r>
      </text>
    </comment>
    <comment ref="B55" authorId="0" shapeId="0" xr:uid="{CC5F32DC-047B-9D45-A714-F3A3D8E45BDF}">
      <text>
        <r>
          <rPr>
            <b/>
            <sz val="10"/>
            <color rgb="FF000000"/>
            <rFont val="Tahoma"/>
            <family val="2"/>
          </rPr>
          <t xml:space="preserve">All strategy products must be derived from the same underlying product.
</t>
        </r>
        <r>
          <rPr>
            <b/>
            <sz val="10"/>
            <color rgb="FF000000"/>
            <rFont val="Tahoma"/>
            <family val="2"/>
          </rPr>
          <t>(You can hit the first "Replicate" button.)</t>
        </r>
      </text>
    </comment>
    <comment ref="U58" authorId="0" shapeId="0" xr:uid="{33D7B5B8-313C-3C42-82D6-62E3366CB96A}">
      <text>
        <r>
          <rPr>
            <sz val="10"/>
            <color rgb="FF000000"/>
            <rFont val="Tahoma"/>
            <family val="2"/>
          </rPr>
          <t xml:space="preserve">• 1 Day(s) = 1 / (Days/Year)
</t>
        </r>
        <r>
          <rPr>
            <sz val="10"/>
            <color rgb="FF000000"/>
            <rFont val="Tahoma"/>
            <family val="2"/>
          </rPr>
          <t xml:space="preserve">• 1 Month(s) = 1/12
</t>
        </r>
        <r>
          <rPr>
            <sz val="10"/>
            <color rgb="FF000000"/>
            <rFont val="Tahoma"/>
            <family val="2"/>
          </rPr>
          <t>• 1 Year(s) = 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FOURÉ Guillaume</author>
  </authors>
  <commentList>
    <comment ref="G78" authorId="0" shapeId="0" xr:uid="{E3EF5909-80E7-2747-B3FC-8BCE97B287FD}">
      <text>
        <r>
          <rPr>
            <b/>
            <sz val="10"/>
            <color rgb="FF000000"/>
            <rFont val="Tahoma"/>
            <family val="2"/>
          </rPr>
          <t xml:space="preserve">To quickly set all T values to a defined number of days/months/years:
</t>
        </r>
        <r>
          <rPr>
            <b/>
            <sz val="10"/>
            <color rgb="FF000000"/>
            <rFont val="Tahoma"/>
            <family val="2"/>
          </rPr>
          <t xml:space="preserve">
</t>
        </r>
        <r>
          <rPr>
            <b/>
            <sz val="10"/>
            <color rgb="FF000000"/>
            <rFont val="Tahoma"/>
            <family val="2"/>
          </rPr>
          <t xml:space="preserve">In the "Strategy plots" area below:
</t>
        </r>
        <r>
          <rPr>
            <b/>
            <sz val="10"/>
            <color rgb="FF000000"/>
            <rFont val="Tahoma"/>
            <family val="2"/>
          </rPr>
          <t xml:space="preserve">• Reset T to 0 
</t>
        </r>
        <r>
          <rPr>
            <b/>
            <sz val="10"/>
            <color rgb="FF000000"/>
            <rFont val="Tahoma"/>
            <family val="2"/>
          </rPr>
          <t>• Set the number of Day(s)/Month(s)/Year(s) required and hit the "+" button</t>
        </r>
        <r>
          <rPr>
            <sz val="10"/>
            <color rgb="FF000000"/>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<sst xmlns="http://schemas.openxmlformats.org/spreadsheetml/2006/main" count="13108" uniqueCount="765">
  <si>
    <t>Call</t>
  </si>
  <si>
    <t>S</t>
  </si>
  <si>
    <t>K</t>
  </si>
  <si>
    <t>r</t>
  </si>
  <si>
    <t>q</t>
  </si>
  <si>
    <t>𝜎</t>
  </si>
  <si>
    <t>Strike price</t>
  </si>
  <si>
    <t>Underlying price</t>
  </si>
  <si>
    <t>Risk-free rate</t>
  </si>
  <si>
    <t>Dividend rate</t>
  </si>
  <si>
    <t>Volatility</t>
  </si>
  <si>
    <t>Time to maturity</t>
  </si>
  <si>
    <t>T</t>
  </si>
  <si>
    <t>Black Scholes option price</t>
  </si>
  <si>
    <t>d1</t>
  </si>
  <si>
    <t>d2</t>
  </si>
  <si>
    <t>Black-Scholes Option pricing</t>
  </si>
  <si>
    <t>▼ Settings ▼</t>
  </si>
  <si>
    <t>Results</t>
  </si>
  <si>
    <t>Option (Call / Put)</t>
  </si>
  <si>
    <t>Implied Volatility</t>
  </si>
  <si>
    <t>Implied Volatility Calculation</t>
  </si>
  <si>
    <t>Binomial tree (Cox-Ross-Rubinstein) Option pricing</t>
  </si>
  <si>
    <t>Number of periods</t>
  </si>
  <si>
    <t>n</t>
  </si>
  <si>
    <t>American / European</t>
  </si>
  <si>
    <t>u</t>
  </si>
  <si>
    <t>delta t</t>
  </si>
  <si>
    <t>d</t>
  </si>
  <si>
    <t>pu</t>
  </si>
  <si>
    <t>pd = 1 - pu</t>
  </si>
  <si>
    <t>act. factor</t>
  </si>
  <si>
    <t>Option market price</t>
  </si>
  <si>
    <t>t0</t>
  </si>
  <si>
    <t>t1</t>
  </si>
  <si>
    <t>t2</t>
  </si>
  <si>
    <t>t3</t>
  </si>
  <si>
    <t>t4</t>
  </si>
  <si>
    <t>t5</t>
  </si>
  <si>
    <t>t6</t>
  </si>
  <si>
    <t xml:space="preserve"> </t>
  </si>
  <si>
    <t>Underlying &gt;</t>
  </si>
  <si>
    <t>Option &gt;</t>
  </si>
  <si>
    <t>European</t>
  </si>
  <si>
    <t>Delta δ</t>
  </si>
  <si>
    <t>Gamma γ</t>
  </si>
  <si>
    <t>Vega ν</t>
  </si>
  <si>
    <t>Theta θ</t>
  </si>
  <si>
    <t>Rho ρ</t>
  </si>
  <si>
    <t>Greeks (European Options)</t>
  </si>
  <si>
    <t>Monte Carlo Option pricing</t>
  </si>
  <si>
    <t>Nb simulaltions</t>
  </si>
  <si>
    <t>N</t>
  </si>
  <si>
    <t>Monte Carlo option price</t>
  </si>
  <si>
    <t>Delta Hedge</t>
  </si>
  <si>
    <t>Position</t>
  </si>
  <si>
    <t>Long</t>
  </si>
  <si>
    <t>Number of</t>
  </si>
  <si>
    <t>options</t>
  </si>
  <si>
    <t>Resulting risk neutral portfolio</t>
  </si>
  <si>
    <t>Long Call</t>
  </si>
  <si>
    <t>Long Put</t>
  </si>
  <si>
    <t>Short Call</t>
  </si>
  <si>
    <t>Short Put</t>
  </si>
  <si>
    <t>Number</t>
  </si>
  <si>
    <t>Underlying parameters</t>
  </si>
  <si>
    <t>Option paramaters</t>
  </si>
  <si>
    <t>Payoff</t>
  </si>
  <si>
    <t>Display</t>
  </si>
  <si>
    <t>Clear</t>
  </si>
  <si>
    <t>c/p</t>
  </si>
  <si>
    <t>LC 1</t>
  </si>
  <si>
    <t>LP 1</t>
  </si>
  <si>
    <t>SP 1</t>
  </si>
  <si>
    <t>Number of cols to clear</t>
  </si>
  <si>
    <t>SC 1</t>
  </si>
  <si>
    <t>Strategy results</t>
  </si>
  <si>
    <t>Strategy plots</t>
  </si>
  <si>
    <t>Option Premium</t>
  </si>
  <si>
    <t>Dividend yield</t>
  </si>
  <si>
    <t>Parameter to rescale the graphs</t>
  </si>
  <si>
    <r>
      <t xml:space="preserve">Nb </t>
    </r>
    <r>
      <rPr>
        <b/>
        <i/>
        <sz val="12"/>
        <color theme="0"/>
        <rFont val="Calibri"/>
        <family val="2"/>
        <scheme val="minor"/>
      </rPr>
      <t>n</t>
    </r>
    <r>
      <rPr>
        <b/>
        <sz val="12"/>
        <color theme="0"/>
        <rFont val="Calibri"/>
        <family val="2"/>
        <scheme val="minor"/>
      </rPr>
      <t xml:space="preserve"> of sigma:
[S ±</t>
    </r>
    <r>
      <rPr>
        <b/>
        <i/>
        <sz val="12"/>
        <color theme="0"/>
        <rFont val="Calibri"/>
        <family val="2"/>
        <scheme val="minor"/>
      </rPr>
      <t xml:space="preserve"> n</t>
    </r>
    <r>
      <rPr>
        <b/>
        <sz val="12"/>
        <color theme="0"/>
        <rFont val="Calibri"/>
        <family val="2"/>
        <scheme val="minor"/>
      </rPr>
      <t>*sigma]</t>
    </r>
  </si>
  <si>
    <t>Current T value</t>
  </si>
  <si>
    <t>Days/Year</t>
  </si>
  <si>
    <t>Increase(+)/Decrease(-) T by</t>
  </si>
  <si>
    <t>Reset T to</t>
  </si>
  <si>
    <t>Change T value</t>
  </si>
  <si>
    <t>Pre-defined strategy</t>
  </si>
  <si>
    <t>Long Synthetic</t>
  </si>
  <si>
    <t>Call Backspread</t>
  </si>
  <si>
    <t>Call Bull Spread</t>
  </si>
  <si>
    <t>Put Bull Spread</t>
  </si>
  <si>
    <t>Covered Call</t>
  </si>
  <si>
    <t>Protective Put</t>
  </si>
  <si>
    <t>Collar</t>
  </si>
  <si>
    <t>Short Synthetic</t>
  </si>
  <si>
    <t>Put Backspread</t>
  </si>
  <si>
    <t>Call Bear Spread</t>
  </si>
  <si>
    <t>Put Bear Spread</t>
  </si>
  <si>
    <t>Iron Condor</t>
  </si>
  <si>
    <t>Long Straddle</t>
  </si>
  <si>
    <t>Short Straddle</t>
  </si>
  <si>
    <t>Long Strangle</t>
  </si>
  <si>
    <t>Short Strangle</t>
  </si>
  <si>
    <t>Long Guts</t>
  </si>
  <si>
    <t>Short Guts</t>
  </si>
  <si>
    <t>Call Time Spread</t>
  </si>
  <si>
    <t>Put Time Spread</t>
  </si>
  <si>
    <t>Call Ratio Vertical Spread</t>
  </si>
  <si>
    <t>Put Ratio Vertical Spread</t>
  </si>
  <si>
    <t>Long Call Butterfly</t>
  </si>
  <si>
    <t>Short Call Butterfly</t>
  </si>
  <si>
    <t>Long Put Butterfly</t>
  </si>
  <si>
    <t>Short Put Butterfly</t>
  </si>
  <si>
    <t>–</t>
  </si>
  <si>
    <t>LC 2</t>
  </si>
  <si>
    <t>LP 2</t>
  </si>
  <si>
    <t>Long Asset</t>
  </si>
  <si>
    <t>Short Asset</t>
  </si>
  <si>
    <t>Total number of products</t>
  </si>
  <si>
    <t>LA 1</t>
  </si>
  <si>
    <t>Underlying Assets</t>
  </si>
  <si>
    <t>SC 2</t>
  </si>
  <si>
    <t>SP 2</t>
  </si>
  <si>
    <t>▼ Strategy name ▼</t>
  </si>
  <si>
    <t>LC</t>
  </si>
  <si>
    <t>SC</t>
  </si>
  <si>
    <t>LP</t>
  </si>
  <si>
    <t>SP</t>
  </si>
  <si>
    <t>LA</t>
  </si>
  <si>
    <t>SA</t>
  </si>
  <si>
    <t>Total</t>
  </si>
  <si>
    <t>▼ Strategy n° ▼</t>
  </si>
  <si>
    <t>Total number of strategies</t>
  </si>
  <si>
    <t>Save current strategy as</t>
  </si>
  <si>
    <t>My Strategy name</t>
  </si>
  <si>
    <t>t7</t>
  </si>
  <si>
    <t>t8</t>
  </si>
  <si>
    <t>t9</t>
  </si>
  <si>
    <t>Guillaume FOURÉ</t>
  </si>
  <si>
    <t>https://www.linkedin.com/in/guillaume-foure/</t>
  </si>
  <si>
    <t>guillaume.foure@edhec.com</t>
  </si>
  <si>
    <t>CONTENT</t>
  </si>
  <si>
    <t xml:space="preserve"> ✓</t>
  </si>
  <si>
    <t>LinkedIn</t>
  </si>
  <si>
    <t>E-mail</t>
  </si>
  <si>
    <t>Clickable Links ▼</t>
  </si>
  <si>
    <t>P&amp;L</t>
  </si>
  <si>
    <t>Total P&amp;L (theoretical)</t>
  </si>
  <si>
    <t>Forwards/
Futures</t>
  </si>
  <si>
    <t>Long Forwards/Futures</t>
  </si>
  <si>
    <t>Short Forwards/Futures</t>
  </si>
  <si>
    <t>LF</t>
  </si>
  <si>
    <t>SF</t>
  </si>
  <si>
    <t>Strike price
(or initial purchasing / selling price for asset product)</t>
  </si>
  <si>
    <t>Number of the similar product ►</t>
  </si>
  <si>
    <t>▼ Strictly different products part of the strategy ▼</t>
  </si>
  <si>
    <t>Total initial COST</t>
  </si>
  <si>
    <t>Products' parameter settings</t>
  </si>
  <si>
    <t>Strategy management</t>
  </si>
  <si>
    <t>Initial Strategy settings</t>
  </si>
  <si>
    <t>Short Iron Condor</t>
  </si>
  <si>
    <t>MC Strategy Price</t>
  </si>
  <si>
    <t>P</t>
  </si>
  <si>
    <t>• Option Premium
• Initial purchasing / selling price for the asset</t>
  </si>
  <si>
    <t>VaR(p)</t>
  </si>
  <si>
    <t>p</t>
  </si>
  <si>
    <t>Nb simulations</t>
  </si>
  <si>
    <r>
      <t>Monte Carlo Simulation</t>
    </r>
    <r>
      <rPr>
        <b/>
        <sz val="11"/>
        <color theme="1"/>
        <rFont val="Calibri (Body)"/>
      </rPr>
      <t xml:space="preserve"> </t>
    </r>
    <r>
      <rPr>
        <sz val="11"/>
        <color theme="1"/>
        <rFont val="Calibri (Body)"/>
      </rPr>
      <t>(assuming that S follows a Brownian motion)</t>
    </r>
  </si>
  <si>
    <t>Display/Clear "Products' parameter settings" table</t>
  </si>
  <si>
    <r>
      <rPr>
        <sz val="11"/>
        <color theme="1"/>
        <rFont val="Calibri (Body)"/>
      </rPr>
      <t>This section does not actualise automatically.</t>
    </r>
    <r>
      <rPr>
        <b/>
        <sz val="11"/>
        <color rgb="FFFF0000"/>
        <rFont val="Calibri"/>
        <family val="2"/>
        <scheme val="minor"/>
      </rPr>
      <t xml:space="preserve">
Must be launched manually.</t>
    </r>
  </si>
  <si>
    <t>Histogram bin width</t>
  </si>
  <si>
    <t>[54.13, 54.38]</t>
  </si>
  <si>
    <t>[54.38, 54.63]</t>
  </si>
  <si>
    <t>[54.63, 54.88]</t>
  </si>
  <si>
    <t>[54.88, 55.13]</t>
  </si>
  <si>
    <t>[55.13, 55.38]</t>
  </si>
  <si>
    <t>[55.38, 55.63]</t>
  </si>
  <si>
    <t>[55.63, 55.88]</t>
  </si>
  <si>
    <t>[55.88, 56.13]</t>
  </si>
  <si>
    <t>[56.13, 56.38]</t>
  </si>
  <si>
    <t>[56.38, 56.63]</t>
  </si>
  <si>
    <t>[56.63, 56.88]</t>
  </si>
  <si>
    <t>[56.88, 57.13]</t>
  </si>
  <si>
    <t>[57.13, 57.38]</t>
  </si>
  <si>
    <t>[57.38, 57.63]</t>
  </si>
  <si>
    <t>[57.63, 57.88]</t>
  </si>
  <si>
    <t>[57.88, 58.13]</t>
  </si>
  <si>
    <t>[58.13, 58.38]</t>
  </si>
  <si>
    <t>[58.38, 58.63]</t>
  </si>
  <si>
    <t>[58.63, 58.88]</t>
  </si>
  <si>
    <t>[58.88, 59.13]</t>
  </si>
  <si>
    <t>[59.13, 59.38]</t>
  </si>
  <si>
    <t>[59.38, 59.63]</t>
  </si>
  <si>
    <t>[59.63, 59.88]</t>
  </si>
  <si>
    <t>[59.88, 60.13]</t>
  </si>
  <si>
    <t>[60.13, 60.38]</t>
  </si>
  <si>
    <t>[60.38, 60.63]</t>
  </si>
  <si>
    <t>[60.63, 60.88]</t>
  </si>
  <si>
    <t>[60.88, 61.13]</t>
  </si>
  <si>
    <t>[61.13, 61.38]</t>
  </si>
  <si>
    <t>[61.38, 61.63]</t>
  </si>
  <si>
    <t>[61.63, 61.88]</t>
  </si>
  <si>
    <t>[61.88, 62.13]</t>
  </si>
  <si>
    <t>[62.13, 62.38]</t>
  </si>
  <si>
    <t>[62.38, 62.63]</t>
  </si>
  <si>
    <t>[62.63, 62.88]</t>
  </si>
  <si>
    <t>[62.88, 63.13]</t>
  </si>
  <si>
    <t>[63.13, 63.38]</t>
  </si>
  <si>
    <t>[63.38, 63.63]</t>
  </si>
  <si>
    <t>[63.63, 63.88]</t>
  </si>
  <si>
    <t>[63.88, 64.13]</t>
  </si>
  <si>
    <t>[64.13, 64.38]</t>
  </si>
  <si>
    <t>[64.38, 64.63]</t>
  </si>
  <si>
    <t>[64.63, 64.88]</t>
  </si>
  <si>
    <t>[64.88, 65.13]</t>
  </si>
  <si>
    <t>[65.13, 65.38]</t>
  </si>
  <si>
    <t>[65.38, 65.63]</t>
  </si>
  <si>
    <t>[65.63, 65.88]</t>
  </si>
  <si>
    <t>[65.88, 66.13]</t>
  </si>
  <si>
    <t>[66.13, 66.38]</t>
  </si>
  <si>
    <t>[66.38, 66.63]</t>
  </si>
  <si>
    <t>[66.63, 66.88]</t>
  </si>
  <si>
    <t>[66.88, 67.13]</t>
  </si>
  <si>
    <t>[67.13, 67.38]</t>
  </si>
  <si>
    <t>[67.38, 67.63]</t>
  </si>
  <si>
    <t>[67.63, 67.88]</t>
  </si>
  <si>
    <t>[67.88, 68.13]</t>
  </si>
  <si>
    <t>[68.13, 68.38]</t>
  </si>
  <si>
    <t>[68.38, 68.63]</t>
  </si>
  <si>
    <t>[68.63, 68.88]</t>
  </si>
  <si>
    <t>[68.88, 69.13]</t>
  </si>
  <si>
    <t>[69.13, 69.38]</t>
  </si>
  <si>
    <t>[69.38, 69.63]</t>
  </si>
  <si>
    <t>[69.63, 69.88]</t>
  </si>
  <si>
    <t>[69.88, 70.13]</t>
  </si>
  <si>
    <t>[70.13, 70.38]</t>
  </si>
  <si>
    <t>[70.38, 70.63]</t>
  </si>
  <si>
    <t>[70.63, 70.88]</t>
  </si>
  <si>
    <t>[70.88, 71.13]</t>
  </si>
  <si>
    <t>[71.13, 71.38]</t>
  </si>
  <si>
    <t>[71.38, 71.63]</t>
  </si>
  <si>
    <t>[71.63, 71.88]</t>
  </si>
  <si>
    <t>[71.88, 72.13]</t>
  </si>
  <si>
    <t>[72.13, 72.38]</t>
  </si>
  <si>
    <t>[72.38, 72.63]</t>
  </si>
  <si>
    <t>[72.63, 72.88]</t>
  </si>
  <si>
    <t>[72.88, 73.13]</t>
  </si>
  <si>
    <t>[73.13, 73.38]</t>
  </si>
  <si>
    <t>[73.38, 73.63]</t>
  </si>
  <si>
    <t>[73.63, 73.88]</t>
  </si>
  <si>
    <t>[73.88, 74.13]</t>
  </si>
  <si>
    <t>[74.13, 74.38]</t>
  </si>
  <si>
    <t>[74.38, 74.63]</t>
  </si>
  <si>
    <t>[74.63, 74.88]</t>
  </si>
  <si>
    <t>[74.88, 75.13]</t>
  </si>
  <si>
    <t>[75.13, 75.38]</t>
  </si>
  <si>
    <t>[75.38, 75.63]</t>
  </si>
  <si>
    <t>[75.63, 75.88]</t>
  </si>
  <si>
    <t>[75.88, 76.13]</t>
  </si>
  <si>
    <t>[76.13, 76.38]</t>
  </si>
  <si>
    <t>[76.38, 76.63]</t>
  </si>
  <si>
    <t>[76.63, 76.88]</t>
  </si>
  <si>
    <t>[76.88, 77.13]</t>
  </si>
  <si>
    <t>[77.13, 77.38]</t>
  </si>
  <si>
    <t>[77.38, 77.63]</t>
  </si>
  <si>
    <t>[77.63, 77.88]</t>
  </si>
  <si>
    <t>[77.88, 78.13]</t>
  </si>
  <si>
    <t>[78.13, 78.38]</t>
  </si>
  <si>
    <t>[78.38, 78.63]</t>
  </si>
  <si>
    <t>[78.63, 78.88]</t>
  </si>
  <si>
    <t>[78.88, 79.13]</t>
  </si>
  <si>
    <t>[79.13, 79.38]</t>
  </si>
  <si>
    <t>[79.38, 79.63]</t>
  </si>
  <si>
    <t>[79.63, 79.88]</t>
  </si>
  <si>
    <t>[79.88, 80.13]</t>
  </si>
  <si>
    <t>[80.13, 80.38]</t>
  </si>
  <si>
    <t>[80.38, 80.63]</t>
  </si>
  <si>
    <t>[80.63, 80.88]</t>
  </si>
  <si>
    <t>[80.88, 81.13]</t>
  </si>
  <si>
    <t>[81.13, 81.38]</t>
  </si>
  <si>
    <t>[81.38, 81.63]</t>
  </si>
  <si>
    <t>[81.63, 81.88]</t>
  </si>
  <si>
    <t>[81.88, 82.13]</t>
  </si>
  <si>
    <t>[82.13, 82.38]</t>
  </si>
  <si>
    <t>[82.38, 82.63]</t>
  </si>
  <si>
    <t>[82.63, 82.88]</t>
  </si>
  <si>
    <t>[82.88, 83.13]</t>
  </si>
  <si>
    <t>[83.13, 83.38]</t>
  </si>
  <si>
    <t>[83.38, 83.63]</t>
  </si>
  <si>
    <t>[83.63, 83.88]</t>
  </si>
  <si>
    <t>[83.88, 84.13]</t>
  </si>
  <si>
    <t>[84.13, 84.38]</t>
  </si>
  <si>
    <t>[84.38, 84.63]</t>
  </si>
  <si>
    <t>[84.63, 84.88]</t>
  </si>
  <si>
    <t>[84.88, 85.13]</t>
  </si>
  <si>
    <t>[85.13, 85.38]</t>
  </si>
  <si>
    <t>[85.38, 85.63]</t>
  </si>
  <si>
    <t>[85.63, 85.88]</t>
  </si>
  <si>
    <t>[85.88, 86.13]</t>
  </si>
  <si>
    <t>[86.13, 86.38]</t>
  </si>
  <si>
    <t>[86.38, 86.63]</t>
  </si>
  <si>
    <t>[86.63, 86.88]</t>
  </si>
  <si>
    <t>[86.88, 87.13]</t>
  </si>
  <si>
    <t>[87.13, 87.38]</t>
  </si>
  <si>
    <t>[87.38, 87.63]</t>
  </si>
  <si>
    <t>[87.63, 87.88]</t>
  </si>
  <si>
    <t>[87.88, 88.13]</t>
  </si>
  <si>
    <t>[88.13, 88.38]</t>
  </si>
  <si>
    <t>[88.38, 88.63]</t>
  </si>
  <si>
    <t>[88.63, 88.88]</t>
  </si>
  <si>
    <t>[88.88, 89.13]</t>
  </si>
  <si>
    <t>[89.13, 89.38]</t>
  </si>
  <si>
    <t>[89.38, 89.63]</t>
  </si>
  <si>
    <t>[89.63, 89.88]</t>
  </si>
  <si>
    <t>[89.88, 90.13]</t>
  </si>
  <si>
    <t>[90.13, 90.38]</t>
  </si>
  <si>
    <t>[90.38, 90.63]</t>
  </si>
  <si>
    <t>[90.63, 90.88]</t>
  </si>
  <si>
    <t>[90.88, 91.13]</t>
  </si>
  <si>
    <t>[91.13, 91.38]</t>
  </si>
  <si>
    <t>[91.38, 91.63]</t>
  </si>
  <si>
    <t>[91.63, 91.88]</t>
  </si>
  <si>
    <t>[91.88, 92.13]</t>
  </si>
  <si>
    <t>[92.13, 92.38]</t>
  </si>
  <si>
    <t>[92.38, 92.63]</t>
  </si>
  <si>
    <t>[92.63, 92.88]</t>
  </si>
  <si>
    <t>[92.88, 93.13]</t>
  </si>
  <si>
    <t>[93.13, 93.38]</t>
  </si>
  <si>
    <t>[93.38, 93.63]</t>
  </si>
  <si>
    <t>[93.63, 93.88]</t>
  </si>
  <si>
    <t>[93.88, 94.13]</t>
  </si>
  <si>
    <t>[94.13, 94.38]</t>
  </si>
  <si>
    <t>[94.38, 94.63]</t>
  </si>
  <si>
    <t>[94.63, 94.88]</t>
  </si>
  <si>
    <t>[94.88, 95.13]</t>
  </si>
  <si>
    <t>[95.13, 95.38]</t>
  </si>
  <si>
    <t>[95.38, 95.63]</t>
  </si>
  <si>
    <t>[95.63, 95.88]</t>
  </si>
  <si>
    <t>[95.88, 96.13]</t>
  </si>
  <si>
    <t>[96.13, 96.38]</t>
  </si>
  <si>
    <t>[96.38, 96.63]</t>
  </si>
  <si>
    <t>[96.63, 96.88]</t>
  </si>
  <si>
    <t>[96.88, 97.13]</t>
  </si>
  <si>
    <t>[97.13, 97.38]</t>
  </si>
  <si>
    <t>[97.38, 97.63]</t>
  </si>
  <si>
    <t>[97.63, 97.88]</t>
  </si>
  <si>
    <t>[97.88, 98.13]</t>
  </si>
  <si>
    <t>[98.13, 98.38]</t>
  </si>
  <si>
    <t>[98.38, 98.63]</t>
  </si>
  <si>
    <t>[98.63, 98.88]</t>
  </si>
  <si>
    <t>[98.88, 99.13]</t>
  </si>
  <si>
    <t>[99.13, 99.38]</t>
  </si>
  <si>
    <t>[99.38, 99.63]</t>
  </si>
  <si>
    <t>[99.63, 99.88]</t>
  </si>
  <si>
    <t>[99.88, 100.13]</t>
  </si>
  <si>
    <t>[100.13, 100.38]</t>
  </si>
  <si>
    <t>[100.38, 100.63]</t>
  </si>
  <si>
    <t>[100.63, 100.88]</t>
  </si>
  <si>
    <t>[100.88, 101.13]</t>
  </si>
  <si>
    <t>[101.13, 101.38]</t>
  </si>
  <si>
    <t>[101.38, 101.63]</t>
  </si>
  <si>
    <t>[101.63, 101.88]</t>
  </si>
  <si>
    <t>[101.88, 102.13]</t>
  </si>
  <si>
    <t>[102.13, 102.38]</t>
  </si>
  <si>
    <t>[102.38, 102.63]</t>
  </si>
  <si>
    <t>[102.63, 102.88]</t>
  </si>
  <si>
    <t>[102.88, 103.13]</t>
  </si>
  <si>
    <t>[103.13, 103.38]</t>
  </si>
  <si>
    <t>[103.38, 103.63]</t>
  </si>
  <si>
    <t>[103.63, 103.88]</t>
  </si>
  <si>
    <t>[103.88, 104.13]</t>
  </si>
  <si>
    <t>[104.13, 104.38]</t>
  </si>
  <si>
    <t>[104.38, 104.63]</t>
  </si>
  <si>
    <t>[104.63, 104.88]</t>
  </si>
  <si>
    <t>[104.88, 105.13]</t>
  </si>
  <si>
    <t>[105.13, 105.38]</t>
  </si>
  <si>
    <t>[105.38, 105.63]</t>
  </si>
  <si>
    <t>[105.63, 105.88]</t>
  </si>
  <si>
    <t>[105.88, 106.13]</t>
  </si>
  <si>
    <t>[106.13, 106.38]</t>
  </si>
  <si>
    <t>[106.38, 106.63]</t>
  </si>
  <si>
    <t>[106.63, 106.88]</t>
  </si>
  <si>
    <t>[106.88, 107.13]</t>
  </si>
  <si>
    <t>[107.13, 107.38]</t>
  </si>
  <si>
    <t>[107.38, 107.63]</t>
  </si>
  <si>
    <t>[107.63, 107.88]</t>
  </si>
  <si>
    <t>[107.88, 108.13]</t>
  </si>
  <si>
    <t>[108.13, 108.38]</t>
  </si>
  <si>
    <t>[108.38, 108.63]</t>
  </si>
  <si>
    <t>[108.63, 108.88]</t>
  </si>
  <si>
    <t>[108.88, 109.13]</t>
  </si>
  <si>
    <t>[109.13, 109.38]</t>
  </si>
  <si>
    <t>[109.38, 109.63]</t>
  </si>
  <si>
    <t>[109.63, 109.88]</t>
  </si>
  <si>
    <t>[109.88, 110.13]</t>
  </si>
  <si>
    <t>[110.13, 110.38]</t>
  </si>
  <si>
    <t>[110.38, 110.63]</t>
  </si>
  <si>
    <t>[110.63, 110.88]</t>
  </si>
  <si>
    <t>[110.88, 111.13]</t>
  </si>
  <si>
    <t>[111.13, 111.38]</t>
  </si>
  <si>
    <t>[111.38, 111.63]</t>
  </si>
  <si>
    <t>[111.63, 111.88]</t>
  </si>
  <si>
    <t>[111.88, 112.13]</t>
  </si>
  <si>
    <t>[112.13, 112.38]</t>
  </si>
  <si>
    <t>[112.38, 112.63]</t>
  </si>
  <si>
    <t>[112.63, 112.88]</t>
  </si>
  <si>
    <t>[112.88, 113.13]</t>
  </si>
  <si>
    <t>[113.13, 113.38]</t>
  </si>
  <si>
    <t>[113.38, 113.63]</t>
  </si>
  <si>
    <t>[113.63, 113.88]</t>
  </si>
  <si>
    <t>[113.88, 114.13]</t>
  </si>
  <si>
    <t>[114.13, 114.38]</t>
  </si>
  <si>
    <t>[114.38, 114.63]</t>
  </si>
  <si>
    <t>[114.63, 114.88]</t>
  </si>
  <si>
    <t>[114.88, 115.13]</t>
  </si>
  <si>
    <t>[115.13, 115.38]</t>
  </si>
  <si>
    <t>[115.38, 115.63]</t>
  </si>
  <si>
    <t>[115.63, 115.88]</t>
  </si>
  <si>
    <t>[115.88, 116.13]</t>
  </si>
  <si>
    <t>[116.13, 116.38]</t>
  </si>
  <si>
    <t>[116.38, 116.63]</t>
  </si>
  <si>
    <t>[116.63, 116.88]</t>
  </si>
  <si>
    <t>[116.88, 117.13]</t>
  </si>
  <si>
    <t>[117.13, 117.38]</t>
  </si>
  <si>
    <t>[117.38, 117.63]</t>
  </si>
  <si>
    <t>[117.63, 117.88]</t>
  </si>
  <si>
    <t>[117.88, 118.13]</t>
  </si>
  <si>
    <t>[118.13, 118.38]</t>
  </si>
  <si>
    <t>[118.38, 118.63]</t>
  </si>
  <si>
    <t>[118.63, 118.88]</t>
  </si>
  <si>
    <t>[118.88, 119.13]</t>
  </si>
  <si>
    <t>[119.13, 119.38]</t>
  </si>
  <si>
    <t>[119.38, 119.63]</t>
  </si>
  <si>
    <t>[119.63, 119.88]</t>
  </si>
  <si>
    <t>[119.88, 120.13]</t>
  </si>
  <si>
    <t>[120.13, 120.38]</t>
  </si>
  <si>
    <t>[120.38, 120.63]</t>
  </si>
  <si>
    <t>[120.63, 120.88]</t>
  </si>
  <si>
    <t>[120.88, 121.13]</t>
  </si>
  <si>
    <t>[121.13, 121.38]</t>
  </si>
  <si>
    <t>[121.38, 121.63]</t>
  </si>
  <si>
    <t>[121.63, 121.88]</t>
  </si>
  <si>
    <t>[121.88, 122.13]</t>
  </si>
  <si>
    <t>[122.13, 122.38]</t>
  </si>
  <si>
    <t>[122.38, 122.63]</t>
  </si>
  <si>
    <t>[122.63, 122.88]</t>
  </si>
  <si>
    <t>[122.88, 123.13]</t>
  </si>
  <si>
    <t>[123.13, 123.38]</t>
  </si>
  <si>
    <t>[123.38, 123.63]</t>
  </si>
  <si>
    <t>[123.63, 123.88]</t>
  </si>
  <si>
    <t>[123.88, 124.13]</t>
  </si>
  <si>
    <t>[124.13, 124.38]</t>
  </si>
  <si>
    <t>[124.38, 124.63]</t>
  </si>
  <si>
    <t>[124.63, 124.88]</t>
  </si>
  <si>
    <t>[124.88, 125.13]</t>
  </si>
  <si>
    <t>[125.13, 125.38]</t>
  </si>
  <si>
    <t>[125.38, 125.63]</t>
  </si>
  <si>
    <t>[125.63, 125.88]</t>
  </si>
  <si>
    <t>[125.88, 126.13]</t>
  </si>
  <si>
    <t>[126.13, 126.38]</t>
  </si>
  <si>
    <t>[126.38, 126.63]</t>
  </si>
  <si>
    <t>[72.13, 72.63]</t>
  </si>
  <si>
    <t>[72.63, 73.13]</t>
  </si>
  <si>
    <t>[73.13, 73.63]</t>
  </si>
  <si>
    <t>[73.63, 74.13]</t>
  </si>
  <si>
    <t>[74.13, 74.63]</t>
  </si>
  <si>
    <t>[74.63, 75.13]</t>
  </si>
  <si>
    <t>[75.13, 75.63]</t>
  </si>
  <si>
    <t>[75.63, 76.13]</t>
  </si>
  <si>
    <t>[76.13, 76.63]</t>
  </si>
  <si>
    <t>[76.63, 77.13]</t>
  </si>
  <si>
    <t>[77.13, 77.63]</t>
  </si>
  <si>
    <t>[77.63, 78.13]</t>
  </si>
  <si>
    <t>[78.13, 78.63]</t>
  </si>
  <si>
    <t>[78.63, 79.13]</t>
  </si>
  <si>
    <t>[79.13, 79.63]</t>
  </si>
  <si>
    <t>[79.63, 80.13]</t>
  </si>
  <si>
    <t>[80.13, 80.63]</t>
  </si>
  <si>
    <t>[80.63, 81.13]</t>
  </si>
  <si>
    <t>[81.13, 81.63]</t>
  </si>
  <si>
    <t>[81.63, 82.13]</t>
  </si>
  <si>
    <t>[82.13, 82.63]</t>
  </si>
  <si>
    <t>[82.63, 83.13]</t>
  </si>
  <si>
    <t>[83.13, 83.63]</t>
  </si>
  <si>
    <t>[83.63, 84.13]</t>
  </si>
  <si>
    <t>[84.13, 84.63]</t>
  </si>
  <si>
    <t>[84.63, 85.13]</t>
  </si>
  <si>
    <t>[85.13, 85.63]</t>
  </si>
  <si>
    <t>[85.63, 86.13]</t>
  </si>
  <si>
    <t>[86.13, 86.63]</t>
  </si>
  <si>
    <t>[86.63, 87.13]</t>
  </si>
  <si>
    <t>[87.13, 87.63]</t>
  </si>
  <si>
    <t>[87.63, 88.13]</t>
  </si>
  <si>
    <t>[88.13, 88.63]</t>
  </si>
  <si>
    <t>[88.63, 89.13]</t>
  </si>
  <si>
    <t>[89.13, 89.63]</t>
  </si>
  <si>
    <t>[89.63, 90.13]</t>
  </si>
  <si>
    <t>[90.13, 90.63]</t>
  </si>
  <si>
    <t>[90.63, 91.13]</t>
  </si>
  <si>
    <t>[91.13, 91.63]</t>
  </si>
  <si>
    <t>[91.63, 92.13]</t>
  </si>
  <si>
    <t>[92.13, 92.63]</t>
  </si>
  <si>
    <t>[92.63, 93.13]</t>
  </si>
  <si>
    <t>[93.13, 93.63]</t>
  </si>
  <si>
    <t>[93.63, 94.13]</t>
  </si>
  <si>
    <t>[94.13, 94.63]</t>
  </si>
  <si>
    <t>[94.63, 95.13]</t>
  </si>
  <si>
    <t>[95.13, 95.63]</t>
  </si>
  <si>
    <t>[95.63, 96.13]</t>
  </si>
  <si>
    <t>[96.13, 96.63]</t>
  </si>
  <si>
    <t>[96.63, 97.13]</t>
  </si>
  <si>
    <t>[97.13, 97.63]</t>
  </si>
  <si>
    <t>[97.63, 98.13]</t>
  </si>
  <si>
    <t>[98.13, 98.63]</t>
  </si>
  <si>
    <t>[98.63, 99.13]</t>
  </si>
  <si>
    <t>[99.13, 99.63]</t>
  </si>
  <si>
    <t>[99.63, 100.13]</t>
  </si>
  <si>
    <t>[100.13, 100.63]</t>
  </si>
  <si>
    <t>[100.63, 101.13]</t>
  </si>
  <si>
    <t>[101.13, 101.63]</t>
  </si>
  <si>
    <t>[101.63, 102.13]</t>
  </si>
  <si>
    <t>[102.13, 102.63]</t>
  </si>
  <si>
    <t>[102.63, 103.13]</t>
  </si>
  <si>
    <t>[103.13, 103.63]</t>
  </si>
  <si>
    <t>[103.63, 104.13]</t>
  </si>
  <si>
    <t>[104.13, 104.63]</t>
  </si>
  <si>
    <t>[104.63, 105.13]</t>
  </si>
  <si>
    <t>[105.13, 105.63]</t>
  </si>
  <si>
    <t>[105.63, 106.13]</t>
  </si>
  <si>
    <t>[106.13, 106.63]</t>
  </si>
  <si>
    <t>[106.63, 107.13]</t>
  </si>
  <si>
    <t>[107.13, 107.63]</t>
  </si>
  <si>
    <t>[107.63, 108.13]</t>
  </si>
  <si>
    <t>[108.13, 108.63]</t>
  </si>
  <si>
    <t>[108.63, 109.13]</t>
  </si>
  <si>
    <t>[109.13, 109.63]</t>
  </si>
  <si>
    <t>[109.63, 110.13]</t>
  </si>
  <si>
    <t>[110.13, 110.63]</t>
  </si>
  <si>
    <t>[110.63, 111.13]</t>
  </si>
  <si>
    <t>[111.13, 111.63]</t>
  </si>
  <si>
    <t>[111.63, 112.13]</t>
  </si>
  <si>
    <t>[112.13, 112.63]</t>
  </si>
  <si>
    <t>[112.63, 113.13]</t>
  </si>
  <si>
    <t>[113.13, 113.63]</t>
  </si>
  <si>
    <t>[113.63, 114.13]</t>
  </si>
  <si>
    <t>[114.13, 114.63]</t>
  </si>
  <si>
    <t>[114.63, 115.13]</t>
  </si>
  <si>
    <t>[115.13, 115.63]</t>
  </si>
  <si>
    <t>[115.63, 116.13]</t>
  </si>
  <si>
    <t>[116.13, 116.63]</t>
  </si>
  <si>
    <t>[116.63, 117.13]</t>
  </si>
  <si>
    <t>[117.13, 117.63]</t>
  </si>
  <si>
    <t>[117.63, 118.13]</t>
  </si>
  <si>
    <t>[118.13, 118.63]</t>
  </si>
  <si>
    <t>[118.63, 119.13]</t>
  </si>
  <si>
    <t>[119.13, 119.63]</t>
  </si>
  <si>
    <t>[119.63, 120.13]</t>
  </si>
  <si>
    <t>[120.13, 120.63]</t>
  </si>
  <si>
    <t>[120.63, 121.13]</t>
  </si>
  <si>
    <t>[121.13, 121.63]</t>
  </si>
  <si>
    <t>[121.63, 122.13]</t>
  </si>
  <si>
    <t>[122.13, 122.63]</t>
  </si>
  <si>
    <t>[122.63, 123.13]</t>
  </si>
  <si>
    <t>[123.13, 123.63]</t>
  </si>
  <si>
    <t>[123.63, 124.13]</t>
  </si>
  <si>
    <t>[124.13, 124.63]</t>
  </si>
  <si>
    <t>[124.63, 125.13]</t>
  </si>
  <si>
    <t>[125.13, 125.63]</t>
  </si>
  <si>
    <t>[125.63, 126.13]</t>
  </si>
  <si>
    <t>[126.13, 126.63]</t>
  </si>
  <si>
    <t>[-4.57, -4.44]</t>
  </si>
  <si>
    <t>[-4.44, -4.32]</t>
  </si>
  <si>
    <t>[-4.32, -4.19]</t>
  </si>
  <si>
    <t>[-4.19, -4.07]</t>
  </si>
  <si>
    <t>[-4.07, -3.94]</t>
  </si>
  <si>
    <t>[-3.94, -3.82]</t>
  </si>
  <si>
    <t>[-3.82, -3.69]</t>
  </si>
  <si>
    <t>[-3.69, -3.57]</t>
  </si>
  <si>
    <t>[-3.57, -3.44]</t>
  </si>
  <si>
    <t>[-3.44, -3.32]</t>
  </si>
  <si>
    <t>[-3.32, -3.19]</t>
  </si>
  <si>
    <t>[-3.19, -3.07]</t>
  </si>
  <si>
    <t>[-3.07, -2.94]</t>
  </si>
  <si>
    <t>[-2.94, -2.82]</t>
  </si>
  <si>
    <t>[-2.82, -2.69]</t>
  </si>
  <si>
    <t>[-2.69, -2.57]</t>
  </si>
  <si>
    <t>[-2.57, -2.44]</t>
  </si>
  <si>
    <t>[-2.44, -2.32]</t>
  </si>
  <si>
    <t>[-2.32, -2.19]</t>
  </si>
  <si>
    <t>[-2.19, -2.07]</t>
  </si>
  <si>
    <t>[-2.07, -1.94]</t>
  </si>
  <si>
    <t>[-1.94, -1.82]</t>
  </si>
  <si>
    <t>[-1.82, -1.69]</t>
  </si>
  <si>
    <t>[-1.69, -1.57]</t>
  </si>
  <si>
    <t>[-1.57, -1.44]</t>
  </si>
  <si>
    <t>[-1.44, -1.32]</t>
  </si>
  <si>
    <t>[-1.32, -1.19]</t>
  </si>
  <si>
    <t>[-1.19, -1.07]</t>
  </si>
  <si>
    <t>[-1.07, -0.94]</t>
  </si>
  <si>
    <t>[-0.94, -0.82]</t>
  </si>
  <si>
    <t>[-0.82, -0.69]</t>
  </si>
  <si>
    <t>[-0.69, -0.57]</t>
  </si>
  <si>
    <t>[-0.57, -0.44]</t>
  </si>
  <si>
    <t>[-0.44, -0.32]</t>
  </si>
  <si>
    <t>[-0.32, -0.19]</t>
  </si>
  <si>
    <t>[-0.19, -0.07]</t>
  </si>
  <si>
    <t>[-0.07, 0.06]</t>
  </si>
  <si>
    <t>[0.06, 0.18]</t>
  </si>
  <si>
    <t>[0.18, 0.31]</t>
  </si>
  <si>
    <t>[0.31, 0.43]</t>
  </si>
  <si>
    <t>[0.43, 0.56]</t>
  </si>
  <si>
    <t>[0.56, 0.68]</t>
  </si>
  <si>
    <t>[0.68, 0.81]</t>
  </si>
  <si>
    <t>[0.81, 0.93]</t>
  </si>
  <si>
    <t>[0.93, 1.06]</t>
  </si>
  <si>
    <t>[1.06, 1.18]</t>
  </si>
  <si>
    <t>[1.18, 1.31]</t>
  </si>
  <si>
    <t>[1.31, 1.43]</t>
  </si>
  <si>
    <t>[1.43, 1.56]</t>
  </si>
  <si>
    <t>[1.56, 1.68]</t>
  </si>
  <si>
    <t>[1.68, 1.81]</t>
  </si>
  <si>
    <t>[1.81, 1.93]</t>
  </si>
  <si>
    <t>[1.93, 2.06]</t>
  </si>
  <si>
    <t>[2.06, 2.18]</t>
  </si>
  <si>
    <t>[2.18, 2.31]</t>
  </si>
  <si>
    <t>[2.31, 2.43]</t>
  </si>
  <si>
    <t>[2.43, 2.56]</t>
  </si>
  <si>
    <t>[2.56, 2.68]</t>
  </si>
  <si>
    <t>[2.68, 2.81]</t>
  </si>
  <si>
    <t>[2.81, 2.93]</t>
  </si>
  <si>
    <t>[2.93, 3.06]</t>
  </si>
  <si>
    <t>[3.06, 3.18]</t>
  </si>
  <si>
    <t>[3.18, 3.31]</t>
  </si>
  <si>
    <t>[3.31, 3.43]</t>
  </si>
  <si>
    <t>[3.43, 3.56]</t>
  </si>
  <si>
    <t>[3.56, 3.68]</t>
  </si>
  <si>
    <t>[3.68, 3.81]</t>
  </si>
  <si>
    <t>[3.81, 3.93]</t>
  </si>
  <si>
    <t>[3.93, 4.06]</t>
  </si>
  <si>
    <t>[4.06, 4.18]</t>
  </si>
  <si>
    <t>[4.18, 4.31]</t>
  </si>
  <si>
    <t>[4.31, 4.43]</t>
  </si>
  <si>
    <t>[4.43, 4.56]</t>
  </si>
  <si>
    <t>[4.56, 4.68]</t>
  </si>
  <si>
    <t>[4.68, 4.81]</t>
  </si>
  <si>
    <t>[4.81, 4.93]</t>
  </si>
  <si>
    <t>[4.93, 5.06]</t>
  </si>
  <si>
    <t>[5.06, 5.18]</t>
  </si>
  <si>
    <t>[5.18, 5.31]</t>
  </si>
  <si>
    <t>[5.31, 5.43]</t>
  </si>
  <si>
    <t>[5.43, 5.56]</t>
  </si>
  <si>
    <t>[5.56, 5.68]</t>
  </si>
  <si>
    <t>[5.68, 5.81]</t>
  </si>
  <si>
    <t>[5.81, 5.93]</t>
  </si>
  <si>
    <t>[5.93, 6.06]</t>
  </si>
  <si>
    <t>[6.06, 6.18]</t>
  </si>
  <si>
    <t>[6.18, 6.31]</t>
  </si>
  <si>
    <t>[6.31, 6.43]</t>
  </si>
  <si>
    <t>[6.43, 6.56]</t>
  </si>
  <si>
    <t>[6.56, 6.68]</t>
  </si>
  <si>
    <t>[6.68, 6.81]</t>
  </si>
  <si>
    <t>[6.81, 6.93]</t>
  </si>
  <si>
    <t>[6.93, 7.06]</t>
  </si>
  <si>
    <t>[7.06, 7.18]</t>
  </si>
  <si>
    <t>[7.18, 7.31]</t>
  </si>
  <si>
    <t>[7.31, 7.43]</t>
  </si>
  <si>
    <t>[7.43, 7.56]</t>
  </si>
  <si>
    <t>[7.56, 7.68]</t>
  </si>
  <si>
    <t>[7.68, 7.81]</t>
  </si>
  <si>
    <t>[7.81, 7.93]</t>
  </si>
  <si>
    <t>[7.93, 8.06]</t>
  </si>
  <si>
    <t>[8.06, 8.18]</t>
  </si>
  <si>
    <t>[8.18, 8.31]</t>
  </si>
  <si>
    <t>[8.31, 8.43]</t>
  </si>
  <si>
    <t>[8.43, 8.56]</t>
  </si>
  <si>
    <t>[8.56, 8.68]</t>
  </si>
  <si>
    <t>[8.68, 8.81]</t>
  </si>
  <si>
    <t>[8.81, 8.93]</t>
  </si>
  <si>
    <t>[8.93, 9.06]</t>
  </si>
  <si>
    <t>[9.06, 9.18]</t>
  </si>
  <si>
    <t>[9.18, 9.31]</t>
  </si>
  <si>
    <t>[9.31, 9.43]</t>
  </si>
  <si>
    <t>[9.43, 9.56]</t>
  </si>
  <si>
    <t>[9.56, 9.68]</t>
  </si>
  <si>
    <t>[9.68, 9.81]</t>
  </si>
  <si>
    <t>[9.81, 9.93]</t>
  </si>
  <si>
    <t>[9.93, 10.06]</t>
  </si>
  <si>
    <t>[10.06, 10.18]</t>
  </si>
  <si>
    <t>[10.18, 10.31]</t>
  </si>
  <si>
    <t>[10.31, 10.43]</t>
  </si>
  <si>
    <t>[10.43, 10.56]</t>
  </si>
  <si>
    <t>[10.56, 10.68]</t>
  </si>
  <si>
    <t>[10.68, 10.81]</t>
  </si>
  <si>
    <t>[10.81, 10.93]</t>
  </si>
  <si>
    <t>[10.93, 11.06]</t>
  </si>
  <si>
    <t>[11.06, 11.18]</t>
  </si>
  <si>
    <t>[11.18, 11.31]</t>
  </si>
  <si>
    <t>[11.31, 11.43]</t>
  </si>
  <si>
    <t>[11.43, 11.56]</t>
  </si>
  <si>
    <t>[11.56, 11.68]</t>
  </si>
  <si>
    <t>[11.68, 11.81]</t>
  </si>
  <si>
    <t>[11.81, 11.93]</t>
  </si>
  <si>
    <t>[7.91, 8.47]</t>
  </si>
  <si>
    <t>[8.47, 9.04]</t>
  </si>
  <si>
    <t>[9.04, 9.6]</t>
  </si>
  <si>
    <t>[9.6, 10.17]</t>
  </si>
  <si>
    <t>[10.17, 10.73]</t>
  </si>
  <si>
    <t>[10.73, 11.3]</t>
  </si>
  <si>
    <t>[11.3, 11.86]</t>
  </si>
  <si>
    <t>[11.86, 12.43]</t>
  </si>
  <si>
    <r>
      <t>Options</t>
    </r>
    <r>
      <rPr>
        <sz val="12"/>
        <color theme="1"/>
        <rFont val="Calibri"/>
        <family val="2"/>
        <scheme val="minor"/>
      </rPr>
      <t xml:space="preserve">
(European)</t>
    </r>
  </si>
  <si>
    <t>Option &amp; Strategy
Pricing</t>
  </si>
  <si>
    <t>Month(s)</t>
  </si>
  <si>
    <t>CVaR(p)</t>
  </si>
  <si>
    <t>[-2.93, -2.79]</t>
  </si>
  <si>
    <t>[0.99, 1.13]</t>
  </si>
  <si>
    <t>[-3.21, -3.07]</t>
  </si>
  <si>
    <t>[-3.07, -2.93]</t>
  </si>
  <si>
    <t>[-2.79, -2.65]</t>
  </si>
  <si>
    <t>[-2.65, -2.51]</t>
  </si>
  <si>
    <t>[-2.51, -2.37]</t>
  </si>
  <si>
    <t>[-2.37, -2.23]</t>
  </si>
  <si>
    <t>[-2.23, -2.09]</t>
  </si>
  <si>
    <t>[-2.09, -1.95]</t>
  </si>
  <si>
    <t>[-1.95, -1.81]</t>
  </si>
  <si>
    <t>[-1.81, -1.67]</t>
  </si>
  <si>
    <t>[-1.67, -1.53]</t>
  </si>
  <si>
    <t>[-1.53, -1.39]</t>
  </si>
  <si>
    <t>[-1.39, -1.25]</t>
  </si>
  <si>
    <t>[-1.25, -1.11]</t>
  </si>
  <si>
    <t>[-1.11, -0.97]</t>
  </si>
  <si>
    <t>[-0.97, -0.83]</t>
  </si>
  <si>
    <t>[-0.83, -0.69]</t>
  </si>
  <si>
    <t>[-0.69, -0.55]</t>
  </si>
  <si>
    <t>[-0.55, -0.41]</t>
  </si>
  <si>
    <t>[-0.41, -0.27]</t>
  </si>
  <si>
    <t>[-0.27, -0.13]</t>
  </si>
  <si>
    <t>[-0.13, 0.01]</t>
  </si>
  <si>
    <t>[0.01, 0.15]</t>
  </si>
  <si>
    <t>[0.15, 0.29]</t>
  </si>
  <si>
    <t>[0.29, 0.43]</t>
  </si>
  <si>
    <t>[0.43, 0.57]</t>
  </si>
  <si>
    <t>[0.57, 0.71]</t>
  </si>
  <si>
    <t>[0.71, 0.85]</t>
  </si>
  <si>
    <t>[0.85, 0.99]</t>
  </si>
  <si>
    <t>[1.13, 1.27]</t>
  </si>
  <si>
    <t>[1.27, 1.41]</t>
  </si>
  <si>
    <t>[1.41, 1.55]</t>
  </si>
  <si>
    <t>[1.55, 1.69]</t>
  </si>
  <si>
    <t>[1.69, 1.83]</t>
  </si>
  <si>
    <t>[1.83, 1.97]</t>
  </si>
  <si>
    <t>[1.97, 2.11]</t>
  </si>
  <si>
    <t>[2.11, 2.25]</t>
  </si>
  <si>
    <t>[2.25, 2.39]</t>
  </si>
  <si>
    <t>[2.39, 2.53]</t>
  </si>
  <si>
    <t>proposed by</t>
  </si>
  <si>
    <r>
      <t xml:space="preserve">This Workbook contains:
• An </t>
    </r>
    <r>
      <rPr>
        <b/>
        <sz val="12"/>
        <color theme="1"/>
        <rFont val="Calibri"/>
        <family val="2"/>
        <scheme val="minor"/>
      </rPr>
      <t>Option pricing</t>
    </r>
    <r>
      <rPr>
        <sz val="12"/>
        <color theme="1"/>
        <rFont val="Calibri"/>
        <family val="2"/>
        <scheme val="minor"/>
      </rPr>
      <t xml:space="preserve"> sheet
        - Black-Scholes model
        - CRR Binomial tree model
        - Monte Carlo model
        - Implied Volatility computing
        - Greeks value (delta, gamma, vega, theta)
• A </t>
    </r>
    <r>
      <rPr>
        <b/>
        <sz val="12"/>
        <color theme="1"/>
        <rFont val="Calibri"/>
        <family val="2"/>
        <scheme val="minor"/>
      </rPr>
      <t>Strategy princing</t>
    </r>
    <r>
      <rPr>
        <sz val="12"/>
        <color theme="1"/>
        <rFont val="Calibri"/>
        <family val="2"/>
        <scheme val="minor"/>
      </rPr>
      <t xml:space="preserve"> sheet
        - Create strategies with options (european), futures and securities
        - Plots of the Greeks vs Underlying price (delta, gamma, vega, theta, rho)
        - Monte Carlo Simulations
        - VaR and CVaR
        - Use Pre-defined strategies (examples from optiontradingtips.com)
        - Posibility to save new strategies
• A 3rd sheet that contains all the saved strategies</t>
    </r>
  </si>
  <si>
    <t>Default and saved strategies</t>
  </si>
  <si>
    <t>DISCLAIMER &amp; GENERAL CONDITIONS OF USE</t>
  </si>
  <si>
    <t>I believe that all those calculations provided in this workbook are reliable. I created this tool as a personal exercice only and therefore I disclaim all liability to any person relying on these worksheet's information in respect of any loss or damage (no matter how consequent they are) however caused. Rely on those figures at your own risk.
This workbook was long to develop, so please don't crack the protecting codes. Doing so and sharing this file after having removed my name in order to do as if it was your work is illegal.</t>
  </si>
  <si>
    <r>
      <t xml:space="preserve">After clicking on the "Proceed" button, you will have acces to all the different worksheets. I hope everything will work properly for you as it does for me.
Otherwise, I would love to have your feedbacks, so feel free to contact me directly.
Enjoy using this workbook!
</t>
    </r>
    <r>
      <rPr>
        <b/>
        <sz val="12"/>
        <color theme="1"/>
        <rFont val="Calibri"/>
        <family val="2"/>
        <scheme val="minor"/>
      </rPr>
      <t>Note:</t>
    </r>
    <r>
      <rPr>
        <sz val="12"/>
        <color theme="1"/>
        <rFont val="Calibri"/>
        <family val="2"/>
        <scheme val="minor"/>
      </rPr>
      <t xml:space="preserve"> Macros must be enabled.
                                                                                                                                                                                 ©Guillaume FOURÉ</t>
    </r>
  </si>
  <si>
    <t>You've agreed with the above 'DISCLAIMER &amp; GENERAL CONDITIONS OF USE' section so you can now navigate through the different worksheets</t>
  </si>
  <si>
    <t>for a 1% move in vol</t>
  </si>
  <si>
    <t>per day (365d basis)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</si>
</sst>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_(* \(#,##0.00\);_(* &quot;-&quot;??_);_(@_)"/>
    <numFmt numFmtId="165" formatCode="0.0000000"/>
    <numFmt numFmtId="166" formatCode="0.000"/>
    <numFmt numFmtId="167" formatCode="_-* #,##0.0000_-;\-* #,##0.0000_-;_-* &quot;-&quot;??_-;_-@_-"/>
  </numFmts>
  <fonts count="39" x14ac:knownFonts="1">
    <font>
      <sz val="12"/>
      <color theme="1"/>
      <name val="Calibri"/>
      <family val="2"/>
      <scheme val="minor"/>
    </font>
    <font>
      <sz val="12"/>
      <color theme="1"/>
      <name val="Calibri"/>
      <family val="2"/>
      <scheme val="minor"/>
    </font>
    <font>
      <b/>
      <sz val="12"/>
      <color theme="0"/>
      <name val="Calibri"/>
      <family val="2"/>
      <scheme val="minor"/>
    </font>
    <font>
      <b/>
      <sz val="12"/>
      <color theme="1"/>
      <name val="Calibri"/>
      <family val="2"/>
      <scheme val="minor"/>
    </font>
    <font>
      <sz val="12"/>
      <color theme="0"/>
      <name val="Calibri"/>
      <family val="2"/>
      <scheme val="minor"/>
    </font>
    <font>
      <b/>
      <sz val="14"/>
      <color theme="0"/>
      <name val="Calibri"/>
      <family val="2"/>
      <scheme val="minor"/>
    </font>
    <font>
      <b/>
      <sz val="16"/>
      <color theme="0"/>
      <name val="Calibri"/>
      <family val="2"/>
      <scheme val="minor"/>
    </font>
    <font>
      <sz val="12"/>
      <color rgb="FFFFFFFF"/>
      <name val="Calibri"/>
      <family val="2"/>
      <scheme val="minor"/>
    </font>
    <font>
      <sz val="12"/>
      <color rgb="FF000000"/>
      <name val="Calibri"/>
      <family val="2"/>
      <scheme val="minor"/>
    </font>
    <font>
      <b/>
      <sz val="12"/>
      <color rgb="FF000000"/>
      <name val="Calibri"/>
      <family val="2"/>
    </font>
    <font>
      <sz val="12"/>
      <color rgb="FF000000"/>
      <name val="Calibri"/>
      <family val="2"/>
    </font>
    <font>
      <b/>
      <sz val="12"/>
      <color rgb="FFFFFFFF"/>
      <name val="Calibri"/>
      <family val="2"/>
      <scheme val="minor"/>
    </font>
    <font>
      <b/>
      <sz val="14"/>
      <color theme="1"/>
      <name val="Calibri"/>
      <family val="2"/>
      <scheme val="minor"/>
    </font>
    <font>
      <sz val="10"/>
      <color theme="1"/>
      <name val="Calibri"/>
      <family val="2"/>
      <scheme val="minor"/>
    </font>
    <font>
      <b/>
      <i/>
      <sz val="12"/>
      <color theme="0"/>
      <name val="Calibri"/>
      <family val="2"/>
      <scheme val="minor"/>
    </font>
    <font>
      <b/>
      <sz val="14"/>
      <color rgb="FFFFFFFF"/>
      <name val="Calibri"/>
      <family val="2"/>
      <scheme val="minor"/>
    </font>
    <font>
      <b/>
      <sz val="14"/>
      <color rgb="FF000000"/>
      <name val="Calibri"/>
      <family val="2"/>
    </font>
    <font>
      <sz val="14"/>
      <color rgb="FF000000"/>
      <name val="Calibri"/>
      <family val="2"/>
    </font>
    <font>
      <b/>
      <sz val="11"/>
      <color rgb="FF000000"/>
      <name val="Calibri"/>
      <family val="2"/>
    </font>
    <font>
      <sz val="11"/>
      <color rgb="FF000000"/>
      <name val="Calibri"/>
      <family val="2"/>
    </font>
    <font>
      <b/>
      <sz val="28"/>
      <color rgb="FF000000"/>
      <name val="Calibri"/>
      <family val="2"/>
    </font>
    <font>
      <sz val="10"/>
      <color rgb="FF000000"/>
      <name val="Tahoma"/>
      <family val="2"/>
    </font>
    <font>
      <b/>
      <sz val="10"/>
      <color rgb="FF000000"/>
      <name val="Tahoma"/>
      <family val="2"/>
    </font>
    <font>
      <sz val="10"/>
      <color rgb="FF000000"/>
      <name val="Calibri"/>
      <family val="2"/>
      <scheme val="minor"/>
    </font>
    <font>
      <sz val="14"/>
      <color theme="1"/>
      <name val="Calibri"/>
      <family val="2"/>
      <scheme val="minor"/>
    </font>
    <font>
      <b/>
      <sz val="26"/>
      <color theme="0"/>
      <name val="Courier"/>
      <family val="1"/>
    </font>
    <font>
      <b/>
      <sz val="16"/>
      <color theme="1"/>
      <name val="Calibri"/>
      <family val="2"/>
      <scheme val="minor"/>
    </font>
    <font>
      <b/>
      <sz val="22"/>
      <color theme="1"/>
      <name val="Calibri"/>
      <family val="2"/>
      <scheme val="minor"/>
    </font>
    <font>
      <u/>
      <sz val="12"/>
      <color theme="10"/>
      <name val="Calibri"/>
      <family val="2"/>
      <scheme val="minor"/>
    </font>
    <font>
      <b/>
      <sz val="24"/>
      <color theme="1"/>
      <name val="Calibri"/>
      <family val="2"/>
      <scheme val="minor"/>
    </font>
    <font>
      <b/>
      <u/>
      <sz val="14"/>
      <color theme="10"/>
      <name val="Calibri"/>
      <family val="2"/>
      <scheme val="minor"/>
    </font>
    <font>
      <sz val="12"/>
      <color theme="1"/>
      <name val="Calibri (Body)"/>
    </font>
    <font>
      <b/>
      <sz val="18"/>
      <color theme="0"/>
      <name val="Calibri"/>
      <family val="2"/>
      <scheme val="minor"/>
    </font>
    <font>
      <b/>
      <sz val="11"/>
      <color theme="1"/>
      <name val="Calibri (Body)"/>
    </font>
    <font>
      <sz val="11"/>
      <color theme="1"/>
      <name val="Calibri (Body)"/>
    </font>
    <font>
      <sz val="9"/>
      <color rgb="FFFF0000"/>
      <name val="Calibri"/>
      <family val="2"/>
      <scheme val="minor"/>
    </font>
    <font>
      <sz val="11"/>
      <color rgb="FFFF0000"/>
      <name val="Calibri"/>
      <family val="2"/>
      <scheme val="minor"/>
    </font>
    <font>
      <b/>
      <sz val="11"/>
      <color rgb="FFFF0000"/>
      <name val="Calibri"/>
      <family val="2"/>
      <scheme val="minor"/>
    </font>
    <font>
      <b/>
      <sz val="20"/>
      <color rgb="FF00B400"/>
      <name val="Calibri"/>
      <family val="2"/>
      <scheme val="minor"/>
    </font>
  </fonts>
  <fills count="21">
    <fill>
      <patternFill patternType="none"/>
    </fill>
    <fill>
      <patternFill patternType="gray125"/>
    </fill>
    <fill>
      <patternFill patternType="solid">
        <fgColor theme="8" tint="0.39997558519241921"/>
        <bgColor indexed="64"/>
      </patternFill>
    </fill>
    <fill>
      <patternFill patternType="solid">
        <fgColor rgb="FF002060"/>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122569"/>
        <bgColor indexed="64"/>
      </patternFill>
    </fill>
    <fill>
      <patternFill patternType="solid">
        <fgColor rgb="FFB3DDFD"/>
        <bgColor indexed="64"/>
      </patternFill>
    </fill>
    <fill>
      <patternFill patternType="solid">
        <fgColor rgb="FFFFC500"/>
        <bgColor indexed="64"/>
      </patternFill>
    </fill>
    <fill>
      <patternFill patternType="solid">
        <fgColor rgb="FF002060"/>
        <bgColor rgb="FF000000"/>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rgb="FF122569"/>
        <bgColor rgb="FF000000"/>
      </patternFill>
    </fill>
    <fill>
      <patternFill patternType="solid">
        <fgColor rgb="FFB3DDFD"/>
        <bgColor rgb="FF000000"/>
      </patternFill>
    </fill>
    <fill>
      <patternFill patternType="solid">
        <fgColor rgb="FFFFEDB1"/>
        <bgColor indexed="64"/>
      </patternFill>
    </fill>
    <fill>
      <patternFill patternType="solid">
        <fgColor theme="8" tint="0.59999389629810485"/>
        <bgColor indexed="64"/>
      </patternFill>
    </fill>
    <fill>
      <patternFill patternType="solid">
        <fgColor theme="0"/>
        <bgColor indexed="64"/>
      </patternFill>
    </fill>
    <fill>
      <patternFill patternType="solid">
        <fgColor rgb="FFFFFFFF"/>
        <bgColor indexed="64"/>
      </patternFill>
    </fill>
  </fills>
  <borders count="106">
    <border>
      <left/>
      <right/>
      <top/>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medium">
        <color theme="0"/>
      </left>
      <right/>
      <top/>
      <bottom/>
      <diagonal/>
    </border>
    <border>
      <left/>
      <right style="medium">
        <color theme="0"/>
      </right>
      <top/>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style="medium">
        <color theme="0"/>
      </right>
      <top style="medium">
        <color theme="0"/>
      </top>
      <bottom/>
      <diagonal/>
    </border>
    <border>
      <left style="medium">
        <color theme="0"/>
      </left>
      <right style="medium">
        <color theme="0"/>
      </right>
      <top/>
      <bottom/>
      <diagonal/>
    </border>
    <border>
      <left style="medium">
        <color theme="0"/>
      </left>
      <right style="medium">
        <color theme="0"/>
      </right>
      <top/>
      <bottom style="medium">
        <color theme="0"/>
      </bottom>
      <diagonal/>
    </border>
    <border>
      <left style="medium">
        <color theme="0"/>
      </left>
      <right style="medium">
        <color theme="0"/>
      </right>
      <top style="medium">
        <color theme="0"/>
      </top>
      <bottom style="thin">
        <color theme="0"/>
      </bottom>
      <diagonal/>
    </border>
    <border>
      <left style="medium">
        <color theme="0"/>
      </left>
      <right style="medium">
        <color theme="0"/>
      </right>
      <top style="thin">
        <color theme="0"/>
      </top>
      <bottom style="medium">
        <color theme="0"/>
      </bottom>
      <diagonal/>
    </border>
    <border>
      <left style="medium">
        <color theme="0"/>
      </left>
      <right style="medium">
        <color theme="0"/>
      </right>
      <top style="thin">
        <color theme="0"/>
      </top>
      <bottom style="thin">
        <color theme="0"/>
      </bottom>
      <diagonal/>
    </border>
    <border>
      <left style="medium">
        <color theme="1"/>
      </left>
      <right/>
      <top/>
      <bottom/>
      <diagonal/>
    </border>
    <border>
      <left style="medium">
        <color theme="1"/>
      </left>
      <right/>
      <top style="medium">
        <color theme="1"/>
      </top>
      <bottom/>
      <diagonal/>
    </border>
    <border>
      <left/>
      <right/>
      <top style="medium">
        <color theme="1"/>
      </top>
      <bottom/>
      <diagonal/>
    </border>
    <border>
      <left style="mediumDashed">
        <color theme="1"/>
      </left>
      <right/>
      <top/>
      <bottom/>
      <diagonal/>
    </border>
    <border>
      <left/>
      <right/>
      <top style="mediumDashed">
        <color theme="1"/>
      </top>
      <bottom/>
      <diagonal/>
    </border>
    <border>
      <left/>
      <right style="thick">
        <color rgb="FF002060"/>
      </right>
      <top/>
      <bottom/>
      <diagonal/>
    </border>
    <border>
      <left style="thick">
        <color rgb="FF002060"/>
      </left>
      <right/>
      <top/>
      <bottom/>
      <diagonal/>
    </border>
    <border>
      <left style="medium">
        <color theme="0" tint="-4.9989318521683403E-2"/>
      </left>
      <right style="medium">
        <color theme="0" tint="-4.9989318521683403E-2"/>
      </right>
      <top style="medium">
        <color theme="0" tint="-4.9989318521683403E-2"/>
      </top>
      <bottom style="medium">
        <color theme="0" tint="-4.9989318521683403E-2"/>
      </bottom>
      <diagonal/>
    </border>
    <border>
      <left style="medium">
        <color theme="0" tint="-4.9989318521683403E-2"/>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0" tint="-4.9989318521683403E-2"/>
      </left>
      <right/>
      <top/>
      <bottom/>
      <diagonal/>
    </border>
    <border>
      <left/>
      <right style="medium">
        <color theme="0" tint="-4.9989318521683403E-2"/>
      </right>
      <top/>
      <bottom/>
      <diagonal/>
    </border>
    <border>
      <left style="medium">
        <color theme="0" tint="-4.9989318521683403E-2"/>
      </left>
      <right/>
      <top/>
      <bottom style="medium">
        <color theme="0" tint="-4.9989318521683403E-2"/>
      </bottom>
      <diagonal/>
    </border>
    <border>
      <left/>
      <right/>
      <top/>
      <bottom style="medium">
        <color theme="0" tint="-4.9989318521683403E-2"/>
      </bottom>
      <diagonal/>
    </border>
    <border>
      <left/>
      <right style="medium">
        <color theme="0" tint="-4.9989318521683403E-2"/>
      </right>
      <top/>
      <bottom style="medium">
        <color theme="0" tint="-4.9989318521683403E-2"/>
      </bottom>
      <diagonal/>
    </border>
    <border>
      <left style="medium">
        <color theme="0" tint="-4.9989318521683403E-2"/>
      </left>
      <right/>
      <top style="medium">
        <color theme="0" tint="-4.9989318521683403E-2"/>
      </top>
      <bottom style="medium">
        <color theme="0" tint="-4.9989318521683403E-2"/>
      </bottom>
      <diagonal/>
    </border>
    <border>
      <left/>
      <right style="medium">
        <color theme="0"/>
      </right>
      <top style="medium">
        <color theme="0" tint="-4.9989318521683403E-2"/>
      </top>
      <bottom style="medium">
        <color theme="0" tint="-4.9989318521683403E-2"/>
      </bottom>
      <diagonal/>
    </border>
    <border>
      <left/>
      <right style="medium">
        <color theme="0" tint="-4.9989318521683403E-2"/>
      </right>
      <top style="medium">
        <color theme="0" tint="-4.9989318521683403E-2"/>
      </top>
      <bottom style="medium">
        <color theme="0" tint="-4.9989318521683403E-2"/>
      </bottom>
      <diagonal/>
    </border>
    <border>
      <left/>
      <right/>
      <top style="medium">
        <color theme="0" tint="-4.9989318521683403E-2"/>
      </top>
      <bottom style="medium">
        <color theme="0" tint="-4.9989318521683403E-2"/>
      </bottom>
      <diagonal/>
    </border>
    <border>
      <left style="medium">
        <color theme="0" tint="-4.9989318521683403E-2"/>
      </left>
      <right style="medium">
        <color theme="0" tint="-4.9989318521683403E-2"/>
      </right>
      <top style="medium">
        <color theme="0" tint="-4.9989318521683403E-2"/>
      </top>
      <bottom/>
      <diagonal/>
    </border>
    <border>
      <left style="medium">
        <color theme="0" tint="-4.9989318521683403E-2"/>
      </left>
      <right style="medium">
        <color theme="0" tint="-4.9989318521683403E-2"/>
      </right>
      <top/>
      <bottom/>
      <diagonal/>
    </border>
    <border>
      <left style="medium">
        <color theme="0" tint="-4.9989318521683403E-2"/>
      </left>
      <right style="medium">
        <color theme="0" tint="-4.9989318521683403E-2"/>
      </right>
      <top/>
      <bottom style="medium">
        <color theme="0" tint="-4.9989318521683403E-2"/>
      </bottom>
      <diagonal/>
    </border>
    <border>
      <left/>
      <right style="medium">
        <color theme="0"/>
      </right>
      <top style="medium">
        <color theme="0" tint="-4.9989318521683403E-2"/>
      </top>
      <bottom/>
      <diagonal/>
    </border>
    <border>
      <left style="thin">
        <color rgb="FFFFFFFF"/>
      </left>
      <right style="thin">
        <color rgb="FFFFFFFF"/>
      </right>
      <top style="medium">
        <color rgb="FFFFFFFF"/>
      </top>
      <bottom style="medium">
        <color rgb="FFFFFFFF"/>
      </bottom>
      <diagonal/>
    </border>
    <border>
      <left style="medium">
        <color rgb="FFFFFFFF"/>
      </left>
      <right/>
      <top style="medium">
        <color theme="0"/>
      </top>
      <bottom style="medium">
        <color theme="0"/>
      </bottom>
      <diagonal/>
    </border>
    <border>
      <left/>
      <right style="medium">
        <color rgb="FFFFFFFF"/>
      </right>
      <top style="medium">
        <color theme="0"/>
      </top>
      <bottom style="medium">
        <color theme="0"/>
      </bottom>
      <diagonal/>
    </border>
    <border>
      <left/>
      <right style="medium">
        <color theme="1"/>
      </right>
      <top style="medium">
        <color theme="1"/>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right/>
      <top style="medium">
        <color rgb="FFFFFFFF"/>
      </top>
      <bottom style="medium">
        <color rgb="FFFFFFFF"/>
      </bottom>
      <diagonal/>
    </border>
    <border>
      <left/>
      <right style="thin">
        <color rgb="FFFFFFFF"/>
      </right>
      <top style="medium">
        <color rgb="FFFFFFFF"/>
      </top>
      <bottom style="medium">
        <color rgb="FFFFFFFF"/>
      </bottom>
      <diagonal/>
    </border>
    <border>
      <left/>
      <right/>
      <top/>
      <bottom style="medium">
        <color rgb="FFFFFFFF"/>
      </bottom>
      <diagonal/>
    </border>
    <border>
      <left style="medium">
        <color rgb="FFFFFFFF"/>
      </left>
      <right/>
      <top/>
      <bottom/>
      <diagonal/>
    </border>
    <border>
      <left/>
      <right style="medium">
        <color rgb="FFFFFFFF"/>
      </right>
      <top/>
      <bottom/>
      <diagonal/>
    </border>
    <border>
      <left style="medium">
        <color rgb="FFFFFFFF"/>
      </left>
      <right/>
      <top style="medium">
        <color rgb="FFFFFFFF"/>
      </top>
      <bottom/>
      <diagonal/>
    </border>
    <border>
      <left/>
      <right style="medium">
        <color rgb="FFFFFFFF"/>
      </right>
      <top style="medium">
        <color rgb="FFFFFFFF"/>
      </top>
      <bottom/>
      <diagonal/>
    </border>
    <border>
      <left/>
      <right/>
      <top style="medium">
        <color rgb="FFFFFFFF"/>
      </top>
      <bottom/>
      <diagonal/>
    </border>
    <border>
      <left style="medium">
        <color rgb="FFFFFFFF"/>
      </left>
      <right/>
      <top/>
      <bottom style="medium">
        <color rgb="FFFFFFFF"/>
      </bottom>
      <diagonal/>
    </border>
    <border>
      <left/>
      <right style="medium">
        <color rgb="FFFFFFFF"/>
      </right>
      <top/>
      <bottom style="medium">
        <color rgb="FFFFFFFF"/>
      </bottom>
      <diagonal/>
    </border>
    <border>
      <left style="medium">
        <color rgb="FFFFFFFF"/>
      </left>
      <right/>
      <top style="medium">
        <color rgb="FFFFFFFF"/>
      </top>
      <bottom style="medium">
        <color rgb="FFFFFFFF"/>
      </bottom>
      <diagonal/>
    </border>
    <border>
      <left/>
      <right style="medium">
        <color rgb="FFFFFFFF"/>
      </right>
      <top style="medium">
        <color rgb="FFFFFFFF"/>
      </top>
      <bottom style="medium">
        <color rgb="FFFFFFFF"/>
      </bottom>
      <diagonal/>
    </border>
    <border>
      <left style="thin">
        <color rgb="FFFFFFFF"/>
      </left>
      <right style="thin">
        <color rgb="FFFFFFFF"/>
      </right>
      <top style="thin">
        <color rgb="FFFFFFFF"/>
      </top>
      <bottom style="thin">
        <color rgb="FFFFFFFF"/>
      </bottom>
      <diagonal/>
    </border>
    <border>
      <left style="thin">
        <color rgb="FFFFFFFF"/>
      </left>
      <right style="medium">
        <color rgb="FFFFFFFF"/>
      </right>
      <top style="thin">
        <color rgb="FFFFFFFF"/>
      </top>
      <bottom style="medium">
        <color rgb="FFFFFFFF"/>
      </bottom>
      <diagonal/>
    </border>
    <border>
      <left/>
      <right/>
      <top/>
      <bottom style="thick">
        <color rgb="FF002060"/>
      </bottom>
      <diagonal/>
    </border>
    <border>
      <left/>
      <right/>
      <top style="thick">
        <color rgb="FF002060"/>
      </top>
      <bottom/>
      <diagonal/>
    </border>
    <border>
      <left style="medium">
        <color theme="0"/>
      </left>
      <right/>
      <top style="medium">
        <color theme="0"/>
      </top>
      <bottom style="thin">
        <color theme="0"/>
      </bottom>
      <diagonal/>
    </border>
    <border>
      <left/>
      <right style="medium">
        <color theme="0"/>
      </right>
      <top style="medium">
        <color theme="0"/>
      </top>
      <bottom style="thin">
        <color theme="0"/>
      </bottom>
      <diagonal/>
    </border>
    <border>
      <left style="medium">
        <color theme="0"/>
      </left>
      <right/>
      <top style="thin">
        <color theme="0"/>
      </top>
      <bottom style="thin">
        <color theme="0"/>
      </bottom>
      <diagonal/>
    </border>
    <border>
      <left/>
      <right style="medium">
        <color theme="0"/>
      </right>
      <top style="thin">
        <color theme="0"/>
      </top>
      <bottom style="thin">
        <color theme="0"/>
      </bottom>
      <diagonal/>
    </border>
    <border>
      <left style="medium">
        <color theme="0"/>
      </left>
      <right/>
      <top style="thin">
        <color theme="0"/>
      </top>
      <bottom style="medium">
        <color theme="0"/>
      </bottom>
      <diagonal/>
    </border>
    <border>
      <left/>
      <right style="medium">
        <color theme="0"/>
      </right>
      <top style="thin">
        <color theme="0"/>
      </top>
      <bottom style="medium">
        <color theme="0"/>
      </bottom>
      <diagonal/>
    </border>
    <border>
      <left style="thin">
        <color rgb="FFFFFFFF"/>
      </left>
      <right style="thin">
        <color rgb="FFFFFFFF"/>
      </right>
      <top/>
      <bottom style="medium">
        <color rgb="FFFFFFFF"/>
      </bottom>
      <diagonal/>
    </border>
    <border>
      <left style="thin">
        <color rgb="FFFFFFFF"/>
      </left>
      <right style="thin">
        <color rgb="FFFFFFFF"/>
      </right>
      <top style="thin">
        <color rgb="FFFFFFFF"/>
      </top>
      <bottom style="medium">
        <color rgb="FFFFFFFF"/>
      </bottom>
      <diagonal/>
    </border>
    <border>
      <left/>
      <right style="medium">
        <color theme="1"/>
      </right>
      <top style="medium">
        <color theme="0"/>
      </top>
      <bottom/>
      <diagonal/>
    </border>
    <border>
      <left style="medium">
        <color theme="0"/>
      </left>
      <right style="medium">
        <color theme="1"/>
      </right>
      <top style="medium">
        <color theme="0"/>
      </top>
      <bottom style="medium">
        <color theme="0"/>
      </bottom>
      <diagonal/>
    </border>
    <border>
      <left style="medium">
        <color theme="0"/>
      </left>
      <right style="medium">
        <color theme="1"/>
      </right>
      <top style="medium">
        <color theme="0"/>
      </top>
      <bottom/>
      <diagonal/>
    </border>
    <border>
      <left style="medium">
        <color theme="0"/>
      </left>
      <right style="medium">
        <color theme="1"/>
      </right>
      <top/>
      <bottom/>
      <diagonal/>
    </border>
    <border>
      <left style="medium">
        <color theme="0"/>
      </left>
      <right style="medium">
        <color theme="1"/>
      </right>
      <top/>
      <bottom style="medium">
        <color theme="0"/>
      </bottom>
      <diagonal/>
    </border>
    <border>
      <left/>
      <right style="medium">
        <color theme="1"/>
      </right>
      <top style="medium">
        <color theme="0"/>
      </top>
      <bottom style="medium">
        <color theme="0"/>
      </bottom>
      <diagonal/>
    </border>
    <border>
      <left style="medium">
        <color theme="1"/>
      </left>
      <right/>
      <top style="medium">
        <color theme="0"/>
      </top>
      <bottom style="medium">
        <color theme="1"/>
      </bottom>
      <diagonal/>
    </border>
    <border>
      <left/>
      <right/>
      <top style="medium">
        <color theme="0"/>
      </top>
      <bottom style="medium">
        <color theme="1"/>
      </bottom>
      <diagonal/>
    </border>
    <border>
      <left style="medium">
        <color theme="1"/>
      </left>
      <right/>
      <top/>
      <bottom style="medium">
        <color theme="0"/>
      </bottom>
      <diagonal/>
    </border>
    <border>
      <left/>
      <right style="medium">
        <color theme="1"/>
      </right>
      <top/>
      <bottom style="medium">
        <color theme="0"/>
      </bottom>
      <diagonal/>
    </border>
    <border>
      <left/>
      <right/>
      <top style="medium">
        <color theme="0"/>
      </top>
      <bottom style="mediumDashed">
        <color theme="1"/>
      </bottom>
      <diagonal/>
    </border>
    <border>
      <left/>
      <right/>
      <top/>
      <bottom style="mediumDashed">
        <color theme="1"/>
      </bottom>
      <diagonal/>
    </border>
    <border>
      <left/>
      <right/>
      <top style="medium">
        <color theme="1"/>
      </top>
      <bottom style="medium">
        <color theme="1"/>
      </bottom>
      <diagonal/>
    </border>
    <border>
      <left style="medium">
        <color rgb="FF002060"/>
      </left>
      <right/>
      <top style="medium">
        <color rgb="FF002060"/>
      </top>
      <bottom/>
      <diagonal/>
    </border>
    <border>
      <left/>
      <right/>
      <top style="medium">
        <color rgb="FF002060"/>
      </top>
      <bottom/>
      <diagonal/>
    </border>
    <border>
      <left/>
      <right style="medium">
        <color rgb="FF002060"/>
      </right>
      <top style="medium">
        <color rgb="FF002060"/>
      </top>
      <bottom/>
      <diagonal/>
    </border>
    <border>
      <left style="medium">
        <color rgb="FF002060"/>
      </left>
      <right/>
      <top/>
      <bottom/>
      <diagonal/>
    </border>
    <border>
      <left/>
      <right style="medium">
        <color rgb="FF002060"/>
      </right>
      <top/>
      <bottom/>
      <diagonal/>
    </border>
    <border>
      <left style="medium">
        <color rgb="FF002060"/>
      </left>
      <right/>
      <top/>
      <bottom style="medium">
        <color rgb="FF002060"/>
      </bottom>
      <diagonal/>
    </border>
    <border>
      <left/>
      <right/>
      <top/>
      <bottom style="medium">
        <color rgb="FF002060"/>
      </bottom>
      <diagonal/>
    </border>
    <border>
      <left/>
      <right style="medium">
        <color rgb="FF002060"/>
      </right>
      <top/>
      <bottom style="medium">
        <color rgb="FF002060"/>
      </bottom>
      <diagonal/>
    </border>
    <border>
      <left style="medium">
        <color rgb="FF002060"/>
      </left>
      <right/>
      <top style="medium">
        <color rgb="FF002060"/>
      </top>
      <bottom style="medium">
        <color rgb="FF002060"/>
      </bottom>
      <diagonal/>
    </border>
    <border>
      <left/>
      <right/>
      <top style="medium">
        <color rgb="FF002060"/>
      </top>
      <bottom style="medium">
        <color rgb="FF002060"/>
      </bottom>
      <diagonal/>
    </border>
    <border>
      <left/>
      <right style="medium">
        <color rgb="FF002060"/>
      </right>
      <top style="medium">
        <color rgb="FF002060"/>
      </top>
      <bottom style="medium">
        <color rgb="FF002060"/>
      </bottom>
      <diagonal/>
    </border>
    <border>
      <left style="medium">
        <color theme="1"/>
      </left>
      <right/>
      <top style="medium">
        <color theme="0"/>
      </top>
      <bottom/>
      <diagonal/>
    </border>
    <border>
      <left style="medium">
        <color theme="1"/>
      </left>
      <right style="medium">
        <color theme="0"/>
      </right>
      <top style="medium">
        <color theme="0"/>
      </top>
      <bottom/>
      <diagonal/>
    </border>
    <border>
      <left style="medium">
        <color theme="1"/>
      </left>
      <right style="medium">
        <color theme="0"/>
      </right>
      <top/>
      <bottom/>
      <diagonal/>
    </border>
    <border>
      <left style="medium">
        <color theme="1"/>
      </left>
      <right style="medium">
        <color theme="0"/>
      </right>
      <top/>
      <bottom style="medium">
        <color theme="0"/>
      </bottom>
      <diagonal/>
    </border>
    <border>
      <left style="medium">
        <color theme="0"/>
      </left>
      <right/>
      <top style="medium">
        <color theme="1"/>
      </top>
      <bottom style="medium">
        <color theme="0"/>
      </bottom>
      <diagonal/>
    </border>
    <border>
      <left/>
      <right/>
      <top style="medium">
        <color theme="1"/>
      </top>
      <bottom style="medium">
        <color theme="0"/>
      </bottom>
      <diagonal/>
    </border>
    <border>
      <left/>
      <right style="medium">
        <color theme="0"/>
      </right>
      <top style="medium">
        <color theme="1"/>
      </top>
      <bottom style="medium">
        <color theme="0"/>
      </bottom>
      <diagonal/>
    </border>
    <border>
      <left style="medium">
        <color theme="1"/>
      </left>
      <right/>
      <top style="medium">
        <color theme="0"/>
      </top>
      <bottom style="medium">
        <color theme="0"/>
      </bottom>
      <diagonal/>
    </border>
  </borders>
  <cellStyleXfs count="4">
    <xf numFmtId="0" fontId="0" fillId="0" borderId="0"/>
    <xf numFmtId="9" fontId="1" fillId="0" borderId="0" applyFont="0" applyFill="0" applyBorder="0" applyAlignment="0" applyProtection="0"/>
    <xf numFmtId="164" fontId="1" fillId="0" borderId="0" applyFont="0" applyFill="0" applyBorder="0" applyAlignment="0" applyProtection="0"/>
    <xf numFmtId="0" fontId="28" fillId="0" borderId="0" applyNumberFormat="0" applyFill="0" applyBorder="0" applyAlignment="0" applyProtection="0"/>
  </cellStyleXfs>
  <cellXfs count="562">
    <xf numFmtId="0" fontId="0" fillId="0" borderId="0" xfId="0"/>
    <xf numFmtId="0" fontId="0" fillId="0" borderId="0" xfId="0" applyAlignment="1">
      <alignment horizontal="right"/>
    </xf>
    <xf numFmtId="0" fontId="0" fillId="0" borderId="0" xfId="0" applyAlignment="1">
      <alignment horizontal="center"/>
    </xf>
    <xf numFmtId="0" fontId="2" fillId="3" borderId="3" xfId="0" applyFont="1" applyFill="1" applyBorder="1" applyAlignment="1">
      <alignment horizontal="center" vertical="center"/>
    </xf>
    <xf numFmtId="0" fontId="2" fillId="3" borderId="5" xfId="0" applyFont="1" applyFill="1" applyBorder="1" applyAlignment="1">
      <alignment horizontal="right"/>
    </xf>
    <xf numFmtId="0" fontId="2" fillId="3" borderId="6" xfId="0" applyFont="1" applyFill="1" applyBorder="1" applyAlignment="1">
      <alignment horizontal="center" vertical="center"/>
    </xf>
    <xf numFmtId="0" fontId="2" fillId="3" borderId="8" xfId="0" applyFont="1" applyFill="1" applyBorder="1" applyAlignment="1">
      <alignment horizontal="right"/>
    </xf>
    <xf numFmtId="0" fontId="2" fillId="3" borderId="0" xfId="0" applyFont="1" applyFill="1" applyBorder="1" applyAlignment="1">
      <alignment horizontal="center" vertical="center"/>
    </xf>
    <xf numFmtId="0" fontId="2" fillId="3" borderId="10" xfId="0" applyFont="1" applyFill="1" applyBorder="1" applyAlignment="1">
      <alignment horizontal="right"/>
    </xf>
    <xf numFmtId="0" fontId="2" fillId="3" borderId="11" xfId="0" applyFont="1" applyFill="1" applyBorder="1" applyAlignment="1">
      <alignment horizontal="center" vertical="center"/>
    </xf>
    <xf numFmtId="0" fontId="0" fillId="0" borderId="0" xfId="0" applyFill="1"/>
    <xf numFmtId="0" fontId="6" fillId="0" borderId="0" xfId="0" applyFont="1" applyFill="1" applyAlignment="1">
      <alignment horizontal="center"/>
    </xf>
    <xf numFmtId="0" fontId="2" fillId="3" borderId="13" xfId="0" applyFont="1" applyFill="1" applyBorder="1" applyAlignment="1">
      <alignment horizontal="center" vertical="center"/>
    </xf>
    <xf numFmtId="0" fontId="2" fillId="0" borderId="0" xfId="0" applyFont="1" applyFill="1" applyBorder="1" applyAlignment="1">
      <alignment horizontal="right"/>
    </xf>
    <xf numFmtId="0" fontId="2" fillId="0" borderId="0" xfId="0" applyFont="1" applyFill="1" applyBorder="1" applyAlignment="1">
      <alignment horizontal="center" vertical="center"/>
    </xf>
    <xf numFmtId="0" fontId="0" fillId="0" borderId="0" xfId="0" applyFill="1" applyBorder="1" applyAlignment="1">
      <alignment horizontal="center"/>
    </xf>
    <xf numFmtId="0" fontId="4" fillId="3" borderId="16" xfId="0" applyFont="1" applyFill="1" applyBorder="1" applyAlignment="1">
      <alignment horizontal="center"/>
    </xf>
    <xf numFmtId="0" fontId="4" fillId="3" borderId="17" xfId="0" applyFont="1" applyFill="1" applyBorder="1" applyAlignment="1">
      <alignment horizontal="center"/>
    </xf>
    <xf numFmtId="0" fontId="0" fillId="5" borderId="1" xfId="0" applyFill="1" applyBorder="1" applyAlignment="1">
      <alignment horizontal="center"/>
    </xf>
    <xf numFmtId="0" fontId="0" fillId="5" borderId="13" xfId="0" applyFill="1" applyBorder="1" applyAlignment="1">
      <alignment horizontal="center"/>
    </xf>
    <xf numFmtId="0" fontId="0" fillId="5" borderId="14" xfId="0" applyFill="1" applyBorder="1" applyAlignment="1">
      <alignment horizontal="center"/>
    </xf>
    <xf numFmtId="166" fontId="0" fillId="4" borderId="4" xfId="0" applyNumberFormat="1" applyFill="1" applyBorder="1" applyAlignment="1">
      <alignment horizontal="center"/>
    </xf>
    <xf numFmtId="0" fontId="4" fillId="3" borderId="18" xfId="0" applyFont="1" applyFill="1" applyBorder="1" applyAlignment="1">
      <alignment horizontal="center"/>
    </xf>
    <xf numFmtId="166" fontId="0" fillId="5" borderId="14" xfId="0" applyNumberFormat="1" applyFill="1" applyBorder="1" applyAlignment="1">
      <alignment horizontal="center"/>
    </xf>
    <xf numFmtId="0" fontId="0" fillId="8" borderId="0" xfId="0" applyFill="1"/>
    <xf numFmtId="0" fontId="7" fillId="7" borderId="0" xfId="0" applyFont="1" applyFill="1"/>
    <xf numFmtId="0" fontId="7" fillId="0" borderId="0" xfId="0" applyFont="1" applyFill="1"/>
    <xf numFmtId="0" fontId="0" fillId="9" borderId="0" xfId="0" applyFill="1"/>
    <xf numFmtId="0" fontId="0" fillId="2" borderId="1" xfId="0" applyFill="1" applyBorder="1" applyAlignment="1" applyProtection="1">
      <alignment horizontal="center"/>
      <protection locked="0"/>
    </xf>
    <xf numFmtId="0" fontId="0" fillId="2" borderId="13" xfId="0" applyFill="1" applyBorder="1" applyAlignment="1" applyProtection="1">
      <alignment horizontal="center"/>
      <protection locked="0"/>
    </xf>
    <xf numFmtId="0" fontId="0" fillId="2" borderId="14" xfId="0" applyFill="1" applyBorder="1" applyAlignment="1" applyProtection="1">
      <alignment horizontal="center"/>
      <protection locked="0"/>
    </xf>
    <xf numFmtId="166" fontId="0" fillId="2" borderId="15" xfId="0" applyNumberFormat="1" applyFill="1" applyBorder="1" applyAlignment="1" applyProtection="1">
      <alignment horizontal="center"/>
      <protection locked="0"/>
    </xf>
    <xf numFmtId="0" fontId="0" fillId="2" borderId="13" xfId="0" applyFill="1" applyBorder="1" applyAlignment="1" applyProtection="1">
      <alignment horizontal="center" vertical="center"/>
      <protection locked="0"/>
    </xf>
    <xf numFmtId="0" fontId="0" fillId="2" borderId="15" xfId="0" applyFill="1" applyBorder="1" applyAlignment="1" applyProtection="1">
      <alignment horizontal="center" vertical="center"/>
      <protection locked="0"/>
    </xf>
    <xf numFmtId="0" fontId="0" fillId="0" borderId="19" xfId="0" applyBorder="1"/>
    <xf numFmtId="0" fontId="3" fillId="0" borderId="19" xfId="0" applyFont="1" applyBorder="1" applyAlignment="1">
      <alignment horizontal="right"/>
    </xf>
    <xf numFmtId="0" fontId="7" fillId="0" borderId="21" xfId="0" applyFont="1" applyFill="1" applyBorder="1"/>
    <xf numFmtId="0" fontId="0" fillId="0" borderId="22" xfId="0" applyBorder="1"/>
    <xf numFmtId="0" fontId="0" fillId="0" borderId="0" xfId="0" applyBorder="1"/>
    <xf numFmtId="0" fontId="7" fillId="0" borderId="20" xfId="0" applyFont="1" applyFill="1" applyBorder="1"/>
    <xf numFmtId="0" fontId="11" fillId="0" borderId="19" xfId="0" applyFont="1" applyFill="1" applyBorder="1" applyAlignment="1">
      <alignment horizontal="right"/>
    </xf>
    <xf numFmtId="0" fontId="3" fillId="0" borderId="19" xfId="0" applyFont="1" applyFill="1" applyBorder="1" applyAlignment="1">
      <alignment horizontal="right"/>
    </xf>
    <xf numFmtId="0" fontId="0" fillId="0" borderId="0" xfId="0" applyFill="1" applyAlignment="1">
      <alignment horizontal="center"/>
    </xf>
    <xf numFmtId="0" fontId="3" fillId="0" borderId="0" xfId="0" applyFont="1" applyFill="1" applyAlignment="1">
      <alignment horizontal="center"/>
    </xf>
    <xf numFmtId="0" fontId="3" fillId="0" borderId="0" xfId="0" applyFont="1" applyAlignment="1">
      <alignment horizontal="center"/>
    </xf>
    <xf numFmtId="16" fontId="12" fillId="0" borderId="0" xfId="0" quotePrefix="1" applyNumberFormat="1" applyFont="1" applyAlignment="1">
      <alignment horizontal="center"/>
    </xf>
    <xf numFmtId="0" fontId="12" fillId="0" borderId="0" xfId="0" quotePrefix="1" applyFont="1" applyAlignment="1">
      <alignment horizontal="center"/>
    </xf>
    <xf numFmtId="0" fontId="2" fillId="3" borderId="2" xfId="0" applyFont="1" applyFill="1" applyBorder="1" applyAlignment="1">
      <alignment horizontal="right"/>
    </xf>
    <xf numFmtId="0" fontId="0" fillId="2" borderId="1" xfId="0" applyFill="1" applyBorder="1" applyAlignment="1" applyProtection="1">
      <alignment horizontal="center" vertical="center"/>
      <protection locked="0"/>
    </xf>
    <xf numFmtId="0" fontId="0" fillId="3" borderId="0" xfId="0" applyFill="1"/>
    <xf numFmtId="165" fontId="0" fillId="3" borderId="0" xfId="0" applyNumberFormat="1" applyFill="1"/>
    <xf numFmtId="0" fontId="0" fillId="0" borderId="6" xfId="0" applyBorder="1" applyAlignment="1">
      <alignment horizontal="center"/>
    </xf>
    <xf numFmtId="164" fontId="0" fillId="0" borderId="0" xfId="0" applyNumberFormat="1"/>
    <xf numFmtId="0" fontId="7" fillId="0" borderId="23" xfId="0" applyFont="1" applyFill="1" applyBorder="1"/>
    <xf numFmtId="0" fontId="0" fillId="0" borderId="24" xfId="0" applyFill="1" applyBorder="1"/>
    <xf numFmtId="0" fontId="0" fillId="3" borderId="0" xfId="0" applyFill="1" applyBorder="1"/>
    <xf numFmtId="0" fontId="0" fillId="0" borderId="8" xfId="0" applyBorder="1"/>
    <xf numFmtId="0" fontId="0" fillId="0" borderId="9" xfId="0" applyBorder="1"/>
    <xf numFmtId="0" fontId="12" fillId="11" borderId="25" xfId="0" quotePrefix="1" applyFont="1" applyFill="1" applyBorder="1" applyAlignment="1">
      <alignment horizontal="center"/>
    </xf>
    <xf numFmtId="0" fontId="6" fillId="11" borderId="25" xfId="0" applyFont="1" applyFill="1" applyBorder="1" applyAlignment="1">
      <alignment horizontal="center"/>
    </xf>
    <xf numFmtId="0" fontId="0" fillId="11" borderId="0" xfId="0" applyFill="1"/>
    <xf numFmtId="0" fontId="0" fillId="11" borderId="0" xfId="0" applyFill="1" applyBorder="1"/>
    <xf numFmtId="0" fontId="0" fillId="11" borderId="25" xfId="0" applyFill="1" applyBorder="1"/>
    <xf numFmtId="167" fontId="0" fillId="11" borderId="0" xfId="2" applyNumberFormat="1" applyFont="1" applyFill="1" applyAlignment="1">
      <alignment horizontal="center" vertical="center"/>
    </xf>
    <xf numFmtId="0" fontId="7" fillId="11" borderId="0" xfId="0" applyFont="1" applyFill="1"/>
    <xf numFmtId="0" fontId="0" fillId="11" borderId="29" xfId="0" applyFill="1" applyBorder="1"/>
    <xf numFmtId="0" fontId="0" fillId="11" borderId="30" xfId="0" applyFill="1" applyBorder="1"/>
    <xf numFmtId="0" fontId="0" fillId="3" borderId="29" xfId="0" applyFill="1" applyBorder="1"/>
    <xf numFmtId="2" fontId="0" fillId="3" borderId="0" xfId="0" applyNumberFormat="1" applyFill="1" applyBorder="1" applyAlignment="1">
      <alignment horizontal="center"/>
    </xf>
    <xf numFmtId="0" fontId="0" fillId="3" borderId="30" xfId="0" applyFill="1" applyBorder="1"/>
    <xf numFmtId="10" fontId="0" fillId="4" borderId="36" xfId="1" applyNumberFormat="1" applyFont="1" applyFill="1" applyBorder="1" applyAlignment="1">
      <alignment horizontal="center"/>
    </xf>
    <xf numFmtId="0" fontId="0" fillId="2" borderId="26" xfId="0" applyFill="1" applyBorder="1" applyAlignment="1" applyProtection="1">
      <alignment horizontal="center"/>
      <protection locked="0"/>
    </xf>
    <xf numFmtId="0" fontId="2" fillId="3" borderId="27" xfId="0" applyFont="1" applyFill="1" applyBorder="1" applyAlignment="1">
      <alignment horizontal="right"/>
    </xf>
    <xf numFmtId="0" fontId="2" fillId="3" borderId="28" xfId="0" applyFont="1" applyFill="1" applyBorder="1" applyAlignment="1">
      <alignment horizontal="center" vertical="center"/>
    </xf>
    <xf numFmtId="0" fontId="2" fillId="3" borderId="29" xfId="0" applyFont="1" applyFill="1" applyBorder="1" applyAlignment="1">
      <alignment horizontal="right"/>
    </xf>
    <xf numFmtId="0" fontId="2" fillId="3" borderId="30" xfId="0" applyFont="1" applyFill="1" applyBorder="1" applyAlignment="1">
      <alignment horizontal="center" vertical="center"/>
    </xf>
    <xf numFmtId="0" fontId="2" fillId="3" borderId="31" xfId="0" applyFont="1" applyFill="1" applyBorder="1" applyAlignment="1">
      <alignment horizontal="right"/>
    </xf>
    <xf numFmtId="0" fontId="2" fillId="3" borderId="33" xfId="0" applyFont="1" applyFill="1" applyBorder="1" applyAlignment="1">
      <alignment horizontal="center" vertical="center"/>
    </xf>
    <xf numFmtId="0" fontId="0" fillId="5" borderId="38" xfId="0" applyFill="1" applyBorder="1" applyAlignment="1">
      <alignment horizontal="center"/>
    </xf>
    <xf numFmtId="0" fontId="0" fillId="5" borderId="39" xfId="0" applyFill="1" applyBorder="1" applyAlignment="1">
      <alignment horizontal="center"/>
    </xf>
    <xf numFmtId="166" fontId="0" fillId="5" borderId="40" xfId="0" applyNumberFormat="1" applyFill="1" applyBorder="1" applyAlignment="1">
      <alignment horizontal="center"/>
    </xf>
    <xf numFmtId="0" fontId="2" fillId="3" borderId="38" xfId="0" applyFont="1" applyFill="1" applyBorder="1" applyAlignment="1">
      <alignment horizontal="center" vertical="center"/>
    </xf>
    <xf numFmtId="0" fontId="0" fillId="5" borderId="26" xfId="0" applyFill="1" applyBorder="1" applyAlignment="1">
      <alignment horizontal="center"/>
    </xf>
    <xf numFmtId="167" fontId="0" fillId="4" borderId="36" xfId="2" applyNumberFormat="1" applyFont="1" applyFill="1" applyBorder="1" applyAlignment="1">
      <alignment horizontal="center" vertical="center"/>
    </xf>
    <xf numFmtId="0" fontId="0" fillId="11" borderId="31" xfId="0" applyFill="1" applyBorder="1"/>
    <xf numFmtId="0" fontId="0" fillId="11" borderId="33" xfId="0" applyFill="1" applyBorder="1"/>
    <xf numFmtId="0" fontId="0" fillId="11" borderId="39" xfId="0" applyFill="1" applyBorder="1"/>
    <xf numFmtId="0" fontId="0" fillId="11" borderId="40" xfId="0" applyFill="1" applyBorder="1"/>
    <xf numFmtId="0" fontId="2" fillId="3" borderId="27" xfId="0" applyFont="1" applyFill="1" applyBorder="1" applyAlignment="1">
      <alignment horizontal="center" vertical="center"/>
    </xf>
    <xf numFmtId="0" fontId="0" fillId="2" borderId="38" xfId="0" applyFill="1" applyBorder="1" applyAlignment="1" applyProtection="1">
      <alignment horizontal="center"/>
      <protection locked="0"/>
    </xf>
    <xf numFmtId="0" fontId="0" fillId="2" borderId="40" xfId="0" applyFill="1" applyBorder="1" applyAlignment="1" applyProtection="1">
      <alignment horizontal="center"/>
      <protection locked="0"/>
    </xf>
    <xf numFmtId="0" fontId="3" fillId="2" borderId="26" xfId="0" applyFont="1" applyFill="1" applyBorder="1" applyAlignment="1" applyProtection="1">
      <alignment horizontal="center" vertical="center"/>
      <protection locked="0"/>
    </xf>
    <xf numFmtId="0" fontId="2" fillId="3" borderId="41" xfId="0" applyFont="1" applyFill="1" applyBorder="1" applyAlignment="1">
      <alignment horizontal="center" vertical="center"/>
    </xf>
    <xf numFmtId="0" fontId="0" fillId="6" borderId="28" xfId="0" applyFill="1" applyBorder="1" applyAlignment="1">
      <alignment horizontal="center"/>
    </xf>
    <xf numFmtId="0" fontId="2" fillId="3" borderId="34" xfId="0" applyFont="1" applyFill="1" applyBorder="1" applyAlignment="1">
      <alignment horizontal="center" vertical="center"/>
    </xf>
    <xf numFmtId="1" fontId="2" fillId="3" borderId="35" xfId="0" applyNumberFormat="1" applyFont="1" applyFill="1" applyBorder="1" applyAlignment="1">
      <alignment horizontal="center" vertical="center"/>
    </xf>
    <xf numFmtId="0" fontId="0" fillId="6" borderId="36" xfId="0" applyFill="1" applyBorder="1" applyAlignment="1">
      <alignment horizontal="center"/>
    </xf>
    <xf numFmtId="0" fontId="0" fillId="0" borderId="3" xfId="0" applyBorder="1"/>
    <xf numFmtId="0" fontId="0" fillId="0" borderId="6" xfId="0" applyBorder="1"/>
    <xf numFmtId="0" fontId="0" fillId="0" borderId="10" xfId="0" applyBorder="1"/>
    <xf numFmtId="0" fontId="0" fillId="0" borderId="11" xfId="0" applyBorder="1"/>
    <xf numFmtId="0" fontId="0" fillId="0" borderId="3" xfId="0" applyBorder="1" applyAlignment="1">
      <alignment horizontal="center"/>
    </xf>
    <xf numFmtId="0" fontId="0" fillId="0" borderId="0" xfId="0" applyBorder="1" applyAlignment="1">
      <alignment horizontal="center"/>
    </xf>
    <xf numFmtId="0" fontId="0" fillId="0" borderId="11" xfId="0" applyBorder="1" applyAlignment="1">
      <alignment horizontal="center"/>
    </xf>
    <xf numFmtId="0" fontId="4" fillId="0" borderId="0" xfId="0" applyFont="1"/>
    <xf numFmtId="0" fontId="0" fillId="0" borderId="46" xfId="0" applyBorder="1"/>
    <xf numFmtId="0" fontId="0" fillId="0" borderId="47" xfId="0" applyBorder="1"/>
    <xf numFmtId="0" fontId="0" fillId="0" borderId="48" xfId="0" applyBorder="1"/>
    <xf numFmtId="0" fontId="0" fillId="0" borderId="49" xfId="0" applyBorder="1"/>
    <xf numFmtId="0" fontId="0" fillId="0" borderId="12" xfId="0" applyBorder="1"/>
    <xf numFmtId="2" fontId="0" fillId="18" borderId="15" xfId="0" applyNumberFormat="1" applyFill="1" applyBorder="1" applyAlignment="1" applyProtection="1">
      <alignment horizontal="center" vertical="center"/>
      <protection locked="0"/>
    </xf>
    <xf numFmtId="0" fontId="0" fillId="18" borderId="1" xfId="0" applyFill="1" applyBorder="1" applyAlignment="1" applyProtection="1">
      <alignment horizontal="center" vertical="center"/>
      <protection locked="0"/>
    </xf>
    <xf numFmtId="0" fontId="0" fillId="18" borderId="4" xfId="0" applyFill="1" applyBorder="1" applyAlignment="1" applyProtection="1">
      <alignment horizontal="center" vertical="center"/>
      <protection locked="0"/>
    </xf>
    <xf numFmtId="0" fontId="0" fillId="0" borderId="62" xfId="0" applyFill="1" applyBorder="1"/>
    <xf numFmtId="0" fontId="0" fillId="0" borderId="6" xfId="0" applyFill="1" applyBorder="1" applyAlignment="1" applyProtection="1">
      <alignment horizontal="center" vertical="center"/>
      <protection locked="0"/>
    </xf>
    <xf numFmtId="0" fontId="0" fillId="0" borderId="6"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0" fillId="0" borderId="11" xfId="0" applyFill="1" applyBorder="1" applyAlignment="1" applyProtection="1">
      <alignment horizontal="center"/>
      <protection locked="0"/>
    </xf>
    <xf numFmtId="0" fontId="0" fillId="0" borderId="11" xfId="0" applyFill="1" applyBorder="1" applyAlignment="1" applyProtection="1">
      <alignment horizontal="center" vertical="center"/>
      <protection locked="0"/>
    </xf>
    <xf numFmtId="166" fontId="0" fillId="6" borderId="1" xfId="0" applyNumberFormat="1" applyFont="1" applyFill="1" applyBorder="1" applyAlignment="1" applyProtection="1">
      <alignment horizontal="center" vertical="center"/>
    </xf>
    <xf numFmtId="0" fontId="5" fillId="3" borderId="1" xfId="0" applyFont="1" applyFill="1" applyBorder="1" applyAlignment="1" applyProtection="1">
      <alignment horizontal="center" vertical="center"/>
    </xf>
    <xf numFmtId="0" fontId="0" fillId="17" borderId="3" xfId="0" applyFill="1" applyBorder="1" applyAlignment="1" applyProtection="1">
      <alignment horizontal="center"/>
    </xf>
    <xf numFmtId="0" fontId="0" fillId="0" borderId="0" xfId="0" applyFill="1" applyBorder="1" applyAlignment="1" applyProtection="1">
      <alignment horizontal="center"/>
    </xf>
    <xf numFmtId="0" fontId="0" fillId="0" borderId="0" xfId="0" applyFill="1" applyAlignment="1" applyProtection="1">
      <alignment horizontal="center"/>
    </xf>
    <xf numFmtId="0" fontId="0" fillId="17" borderId="6" xfId="0" applyFill="1" applyBorder="1" applyAlignment="1" applyProtection="1">
      <alignment horizontal="center"/>
    </xf>
    <xf numFmtId="0" fontId="0" fillId="17" borderId="0" xfId="0" applyFill="1" applyBorder="1" applyAlignment="1" applyProtection="1">
      <alignment horizontal="center"/>
    </xf>
    <xf numFmtId="0" fontId="0" fillId="17" borderId="11" xfId="0" applyFill="1" applyBorder="1" applyAlignment="1" applyProtection="1">
      <alignment horizontal="center"/>
    </xf>
    <xf numFmtId="0" fontId="0" fillId="0" borderId="0" xfId="0" applyFill="1" applyProtection="1"/>
    <xf numFmtId="0" fontId="0" fillId="17" borderId="6" xfId="0" applyFill="1" applyBorder="1" applyAlignment="1" applyProtection="1">
      <alignment horizontal="center" vertical="center"/>
    </xf>
    <xf numFmtId="0" fontId="0" fillId="17" borderId="3" xfId="0" applyFill="1" applyBorder="1" applyAlignment="1" applyProtection="1">
      <alignment horizontal="center" vertical="center"/>
    </xf>
    <xf numFmtId="0" fontId="0" fillId="17" borderId="11" xfId="0" applyFill="1" applyBorder="1" applyAlignment="1" applyProtection="1">
      <alignment horizontal="center" vertical="center"/>
    </xf>
    <xf numFmtId="0" fontId="4" fillId="0" borderId="0" xfId="0" applyFont="1" applyProtection="1"/>
    <xf numFmtId="0" fontId="0" fillId="0" borderId="0" xfId="0" applyProtection="1"/>
    <xf numFmtId="0" fontId="0" fillId="14" borderId="6" xfId="0" applyFill="1" applyBorder="1" applyProtection="1"/>
    <xf numFmtId="0" fontId="0" fillId="14" borderId="0" xfId="0" applyFill="1" applyBorder="1" applyProtection="1"/>
    <xf numFmtId="0" fontId="2" fillId="3" borderId="13" xfId="0" applyFont="1" applyFill="1" applyBorder="1" applyAlignment="1" applyProtection="1">
      <alignment horizontal="center"/>
    </xf>
    <xf numFmtId="166" fontId="0" fillId="4" borderId="4" xfId="0" applyNumberFormat="1" applyFill="1" applyBorder="1" applyAlignment="1" applyProtection="1">
      <alignment horizontal="center" vertical="center"/>
    </xf>
    <xf numFmtId="0" fontId="4" fillId="0" borderId="0" xfId="0" applyFont="1" applyFill="1" applyProtection="1"/>
    <xf numFmtId="0" fontId="11" fillId="0" borderId="0" xfId="0" applyFont="1" applyFill="1" applyBorder="1" applyAlignment="1" applyProtection="1">
      <alignment horizontal="center"/>
    </xf>
    <xf numFmtId="166" fontId="0" fillId="0" borderId="0" xfId="0" applyNumberFormat="1" applyFill="1" applyBorder="1" applyAlignment="1" applyProtection="1">
      <alignment horizontal="center" vertical="center"/>
    </xf>
    <xf numFmtId="0" fontId="2" fillId="0" borderId="0" xfId="0" applyFont="1" applyBorder="1" applyProtection="1"/>
    <xf numFmtId="0" fontId="2" fillId="14" borderId="0" xfId="0" applyFont="1" applyFill="1" applyBorder="1" applyAlignment="1" applyProtection="1">
      <alignment horizontal="center"/>
    </xf>
    <xf numFmtId="0" fontId="0" fillId="14" borderId="0" xfId="0" applyFill="1" applyBorder="1" applyAlignment="1" applyProtection="1">
      <alignment horizontal="center" vertical="center"/>
    </xf>
    <xf numFmtId="0" fontId="0" fillId="12" borderId="1" xfId="0" applyFill="1" applyBorder="1" applyAlignment="1" applyProtection="1">
      <alignment horizontal="center" vertical="center"/>
    </xf>
    <xf numFmtId="0" fontId="4" fillId="0" borderId="0" xfId="0" applyFont="1" applyBorder="1" applyProtection="1"/>
    <xf numFmtId="0" fontId="2" fillId="0" borderId="3" xfId="0" applyFont="1" applyBorder="1" applyProtection="1"/>
    <xf numFmtId="0" fontId="2" fillId="7" borderId="42" xfId="0" applyFont="1" applyFill="1" applyBorder="1" applyProtection="1"/>
    <xf numFmtId="0" fontId="2" fillId="0" borderId="42" xfId="0" applyFont="1" applyFill="1" applyBorder="1" applyProtection="1"/>
    <xf numFmtId="0" fontId="0" fillId="0" borderId="3" xfId="0" applyBorder="1" applyProtection="1"/>
    <xf numFmtId="0" fontId="7" fillId="7" borderId="3" xfId="0" applyFont="1" applyFill="1" applyBorder="1" applyAlignment="1" applyProtection="1">
      <alignment horizontal="center"/>
    </xf>
    <xf numFmtId="0" fontId="7" fillId="0" borderId="3" xfId="0" applyFont="1" applyFill="1" applyBorder="1" applyAlignment="1" applyProtection="1">
      <alignment horizontal="center"/>
    </xf>
    <xf numFmtId="0" fontId="0" fillId="0" borderId="3" xfId="0" applyBorder="1" applyAlignment="1" applyProtection="1">
      <alignment horizontal="center"/>
    </xf>
    <xf numFmtId="0" fontId="11" fillId="0" borderId="0" xfId="0" applyFont="1" applyFill="1" applyBorder="1" applyAlignment="1" applyProtection="1">
      <alignment horizontal="center" vertical="center"/>
    </xf>
    <xf numFmtId="0" fontId="7" fillId="0" borderId="0" xfId="0" applyFont="1" applyFill="1" applyBorder="1" applyAlignment="1" applyProtection="1">
      <alignment horizontal="center"/>
    </xf>
    <xf numFmtId="0" fontId="7" fillId="0" borderId="0" xfId="0" applyFont="1" applyFill="1" applyAlignment="1" applyProtection="1">
      <alignment horizontal="center"/>
    </xf>
    <xf numFmtId="0" fontId="0" fillId="0" borderId="0" xfId="0" applyAlignment="1" applyProtection="1">
      <alignment horizontal="center"/>
    </xf>
    <xf numFmtId="0" fontId="0" fillId="0" borderId="6" xfId="0" applyBorder="1" applyProtection="1"/>
    <xf numFmtId="0" fontId="2" fillId="3" borderId="5" xfId="0" applyFont="1" applyFill="1" applyBorder="1" applyAlignment="1" applyProtection="1">
      <alignment horizontal="right"/>
    </xf>
    <xf numFmtId="0" fontId="2" fillId="3" borderId="7" xfId="0" applyFont="1" applyFill="1" applyBorder="1" applyAlignment="1" applyProtection="1">
      <alignment horizontal="center"/>
    </xf>
    <xf numFmtId="0" fontId="0" fillId="0" borderId="6" xfId="0" applyFill="1" applyBorder="1" applyAlignment="1" applyProtection="1">
      <alignment horizontal="center" vertical="center"/>
    </xf>
    <xf numFmtId="0" fontId="0" fillId="0" borderId="6" xfId="0" applyFill="1" applyBorder="1" applyAlignment="1" applyProtection="1">
      <alignment horizontal="center"/>
    </xf>
    <xf numFmtId="0" fontId="0" fillId="0" borderId="6" xfId="0" applyBorder="1" applyAlignment="1" applyProtection="1">
      <alignment horizontal="center"/>
    </xf>
    <xf numFmtId="0" fontId="0" fillId="0" borderId="0" xfId="0" applyBorder="1" applyProtection="1"/>
    <xf numFmtId="0" fontId="2" fillId="3" borderId="8" xfId="0" applyFont="1" applyFill="1" applyBorder="1" applyAlignment="1" applyProtection="1">
      <alignment horizontal="right"/>
    </xf>
    <xf numFmtId="0" fontId="2" fillId="3" borderId="9" xfId="0" applyFont="1" applyFill="1" applyBorder="1" applyAlignment="1" applyProtection="1">
      <alignment horizontal="center"/>
    </xf>
    <xf numFmtId="0" fontId="0" fillId="0" borderId="0" xfId="0" applyBorder="1" applyAlignment="1" applyProtection="1">
      <alignment horizontal="center"/>
    </xf>
    <xf numFmtId="0" fontId="2" fillId="3" borderId="9" xfId="0" applyFont="1" applyFill="1" applyBorder="1" applyAlignment="1" applyProtection="1">
      <alignment horizontal="center" vertical="center"/>
    </xf>
    <xf numFmtId="0" fontId="0" fillId="0" borderId="11" xfId="0" applyBorder="1" applyProtection="1"/>
    <xf numFmtId="0" fontId="2" fillId="3" borderId="10" xfId="0" applyFont="1" applyFill="1" applyBorder="1" applyAlignment="1" applyProtection="1">
      <alignment horizontal="right"/>
    </xf>
    <xf numFmtId="0" fontId="0" fillId="0" borderId="11" xfId="0" applyFill="1" applyBorder="1" applyAlignment="1" applyProtection="1">
      <alignment horizontal="center"/>
    </xf>
    <xf numFmtId="0" fontId="0" fillId="0" borderId="11" xfId="0" applyBorder="1" applyAlignment="1" applyProtection="1">
      <alignment horizontal="center"/>
    </xf>
    <xf numFmtId="0" fontId="13" fillId="0" borderId="8" xfId="0" applyFont="1" applyFill="1" applyBorder="1" applyAlignment="1" applyProtection="1">
      <alignment horizontal="right" vertical="center" wrapText="1"/>
    </xf>
    <xf numFmtId="0" fontId="2" fillId="0" borderId="9" xfId="0" applyFont="1" applyFill="1" applyBorder="1" applyAlignment="1" applyProtection="1">
      <alignment horizontal="center" vertical="center"/>
    </xf>
    <xf numFmtId="0" fontId="8" fillId="0" borderId="0" xfId="0" applyFont="1" applyFill="1" applyAlignment="1" applyProtection="1">
      <alignment horizontal="center"/>
    </xf>
    <xf numFmtId="0" fontId="11" fillId="0" borderId="0" xfId="0" applyFont="1" applyFill="1" applyAlignment="1" applyProtection="1">
      <alignment horizontal="center" vertical="center"/>
    </xf>
    <xf numFmtId="0" fontId="2" fillId="3" borderId="7" xfId="0" applyFont="1" applyFill="1" applyBorder="1" applyAlignment="1" applyProtection="1">
      <alignment horizontal="center" vertical="center"/>
    </xf>
    <xf numFmtId="0" fontId="0" fillId="0" borderId="11" xfId="0" applyFill="1" applyBorder="1" applyAlignment="1" applyProtection="1">
      <alignment horizontal="center" vertical="center"/>
    </xf>
    <xf numFmtId="0" fontId="0" fillId="0" borderId="9" xfId="0" applyBorder="1" applyProtection="1"/>
    <xf numFmtId="0" fontId="0" fillId="0" borderId="3" xfId="0" applyFill="1" applyBorder="1" applyAlignment="1" applyProtection="1">
      <alignment horizontal="center"/>
    </xf>
    <xf numFmtId="0" fontId="2" fillId="0" borderId="8" xfId="0" applyFont="1" applyFill="1" applyBorder="1" applyAlignment="1" applyProtection="1">
      <alignment horizontal="center"/>
    </xf>
    <xf numFmtId="0" fontId="2" fillId="0" borderId="9" xfId="0" applyFont="1" applyFill="1" applyBorder="1" applyAlignment="1" applyProtection="1">
      <alignment horizontal="center"/>
    </xf>
    <xf numFmtId="0" fontId="0" fillId="0" borderId="3" xfId="0" applyFill="1" applyBorder="1" applyAlignment="1" applyProtection="1">
      <alignment horizontal="center" vertical="center"/>
    </xf>
    <xf numFmtId="0" fontId="0" fillId="0" borderId="0" xfId="0" applyFill="1" applyBorder="1" applyProtection="1"/>
    <xf numFmtId="0" fontId="0" fillId="0" borderId="21" xfId="0" applyFill="1" applyBorder="1" applyProtection="1"/>
    <xf numFmtId="0" fontId="0" fillId="0" borderId="45" xfId="0" applyFill="1" applyBorder="1" applyProtection="1"/>
    <xf numFmtId="0" fontId="0" fillId="0" borderId="6" xfId="0" applyFill="1" applyBorder="1" applyProtection="1"/>
    <xf numFmtId="0" fontId="0" fillId="0" borderId="46" xfId="0" applyFill="1" applyBorder="1" applyProtection="1"/>
    <xf numFmtId="0" fontId="0" fillId="0" borderId="8" xfId="0" applyBorder="1" applyProtection="1"/>
    <xf numFmtId="0" fontId="2" fillId="3" borderId="15" xfId="0" applyFont="1" applyFill="1" applyBorder="1" applyAlignment="1" applyProtection="1">
      <alignment horizontal="center" vertical="center"/>
    </xf>
    <xf numFmtId="0" fontId="2" fillId="3" borderId="14" xfId="0" applyFont="1" applyFill="1" applyBorder="1" applyAlignment="1" applyProtection="1">
      <alignment horizontal="center" vertical="center"/>
    </xf>
    <xf numFmtId="0" fontId="0" fillId="0" borderId="9" xfId="0" applyFill="1" applyBorder="1" applyProtection="1"/>
    <xf numFmtId="0" fontId="0" fillId="0" borderId="46" xfId="0" applyBorder="1" applyProtection="1"/>
    <xf numFmtId="0" fontId="0" fillId="0" borderId="1" xfId="0" applyBorder="1" applyProtection="1"/>
    <xf numFmtId="0" fontId="0" fillId="0" borderId="12" xfId="0" applyBorder="1" applyProtection="1"/>
    <xf numFmtId="0" fontId="2" fillId="3" borderId="12" xfId="0" applyFont="1" applyFill="1" applyBorder="1" applyAlignment="1" applyProtection="1">
      <alignment horizontal="center" vertical="center"/>
    </xf>
    <xf numFmtId="0" fontId="0" fillId="0" borderId="0" xfId="0" applyAlignment="1" applyProtection="1">
      <alignment horizontal="center" vertical="center"/>
    </xf>
    <xf numFmtId="0" fontId="0" fillId="0" borderId="0" xfId="0" applyAlignment="1" applyProtection="1">
      <alignment horizontal="right"/>
    </xf>
    <xf numFmtId="0" fontId="3" fillId="14" borderId="1" xfId="0" applyFont="1" applyFill="1" applyBorder="1" applyAlignment="1" applyProtection="1">
      <alignment horizontal="center"/>
    </xf>
    <xf numFmtId="0" fontId="0" fillId="0" borderId="0" xfId="0" applyFill="1" applyAlignment="1" applyProtection="1">
      <alignment horizontal="center" vertical="center"/>
    </xf>
    <xf numFmtId="0" fontId="2" fillId="0" borderId="0" xfId="0" applyFont="1" applyFill="1" applyBorder="1" applyAlignment="1" applyProtection="1">
      <alignment horizontal="center"/>
    </xf>
    <xf numFmtId="0" fontId="0" fillId="0" borderId="0" xfId="0" applyFill="1" applyBorder="1" applyAlignment="1" applyProtection="1">
      <alignment horizontal="center" vertical="center"/>
    </xf>
    <xf numFmtId="0" fontId="0" fillId="0" borderId="0" xfId="0" applyFill="1" applyBorder="1" applyAlignment="1" applyProtection="1"/>
    <xf numFmtId="0" fontId="11" fillId="0" borderId="0" xfId="0" applyFont="1" applyFill="1" applyBorder="1" applyAlignment="1" applyProtection="1"/>
    <xf numFmtId="0" fontId="0" fillId="0" borderId="46" xfId="0" applyBorder="1" applyAlignment="1" applyProtection="1">
      <alignment horizontal="right"/>
    </xf>
    <xf numFmtId="0" fontId="0" fillId="0" borderId="21" xfId="0" applyBorder="1" applyAlignment="1" applyProtection="1">
      <alignment horizontal="left"/>
    </xf>
    <xf numFmtId="0" fontId="0" fillId="0" borderId="21" xfId="0" applyFill="1" applyBorder="1" applyAlignment="1" applyProtection="1">
      <alignment horizontal="left"/>
    </xf>
    <xf numFmtId="0" fontId="0" fillId="0" borderId="4" xfId="0" applyBorder="1" applyAlignment="1" applyProtection="1">
      <alignment horizontal="left"/>
    </xf>
    <xf numFmtId="0" fontId="0" fillId="0" borderId="4" xfId="0" applyFill="1" applyBorder="1" applyAlignment="1" applyProtection="1">
      <alignment horizontal="left"/>
    </xf>
    <xf numFmtId="0" fontId="0" fillId="0" borderId="0" xfId="0" applyAlignment="1" applyProtection="1">
      <alignment horizontal="left"/>
    </xf>
    <xf numFmtId="0" fontId="0" fillId="0" borderId="0" xfId="0" applyFill="1" applyAlignment="1" applyProtection="1">
      <alignment horizontal="left"/>
    </xf>
    <xf numFmtId="0" fontId="0" fillId="8" borderId="6" xfId="0" applyNumberFormat="1" applyFill="1" applyBorder="1" applyAlignment="1" applyProtection="1">
      <alignment horizontal="center" vertical="center"/>
    </xf>
    <xf numFmtId="0" fontId="0" fillId="8" borderId="0" xfId="1" applyNumberFormat="1" applyFont="1" applyFill="1" applyBorder="1" applyAlignment="1" applyProtection="1">
      <alignment horizontal="center" vertical="center"/>
    </xf>
    <xf numFmtId="0" fontId="0" fillId="8" borderId="0" xfId="0" applyNumberFormat="1" applyFill="1" applyBorder="1" applyAlignment="1" applyProtection="1">
      <alignment horizontal="center"/>
    </xf>
    <xf numFmtId="0" fontId="0" fillId="8" borderId="11" xfId="0" applyNumberFormat="1" applyFill="1" applyBorder="1" applyAlignment="1" applyProtection="1">
      <alignment horizontal="center"/>
    </xf>
    <xf numFmtId="0" fontId="0" fillId="0" borderId="62" xfId="0" applyFill="1" applyBorder="1" applyAlignment="1" applyProtection="1">
      <alignment horizontal="left"/>
    </xf>
    <xf numFmtId="0" fontId="0" fillId="0" borderId="62" xfId="0" applyFill="1" applyBorder="1" applyProtection="1"/>
    <xf numFmtId="0" fontId="0" fillId="0" borderId="1" xfId="0" applyBorder="1" applyAlignment="1" applyProtection="1">
      <alignment horizontal="left"/>
    </xf>
    <xf numFmtId="0" fontId="7" fillId="0" borderId="1" xfId="0" applyFont="1" applyFill="1" applyBorder="1" applyAlignment="1" applyProtection="1">
      <alignment horizontal="left"/>
    </xf>
    <xf numFmtId="0" fontId="8" fillId="8" borderId="57" xfId="0" applyFont="1" applyFill="1" applyBorder="1" applyAlignment="1" applyProtection="1">
      <alignment horizontal="center" vertical="center"/>
    </xf>
    <xf numFmtId="0" fontId="8" fillId="8" borderId="52" xfId="0" applyNumberFormat="1" applyFont="1" applyFill="1" applyBorder="1" applyAlignment="1" applyProtection="1">
      <alignment horizontal="center" vertical="center"/>
    </xf>
    <xf numFmtId="0" fontId="0" fillId="0" borderId="1" xfId="0" applyFill="1" applyBorder="1" applyAlignment="1" applyProtection="1">
      <alignment horizontal="left"/>
    </xf>
    <xf numFmtId="0" fontId="8" fillId="8" borderId="57" xfId="0" applyFont="1" applyFill="1" applyBorder="1" applyAlignment="1" applyProtection="1">
      <alignment horizontal="center"/>
    </xf>
    <xf numFmtId="0" fontId="8" fillId="8" borderId="0" xfId="0" applyFont="1" applyFill="1" applyAlignment="1" applyProtection="1">
      <alignment horizontal="center"/>
    </xf>
    <xf numFmtId="0" fontId="8" fillId="8" borderId="52" xfId="0" applyFont="1" applyFill="1" applyBorder="1" applyAlignment="1" applyProtection="1">
      <alignment horizontal="center"/>
    </xf>
    <xf numFmtId="0" fontId="8" fillId="8" borderId="52" xfId="0" applyFont="1" applyFill="1" applyBorder="1" applyAlignment="1" applyProtection="1">
      <alignment horizontal="center" vertical="center"/>
    </xf>
    <xf numFmtId="0" fontId="5" fillId="0" borderId="3" xfId="0" applyFont="1" applyBorder="1" applyProtection="1"/>
    <xf numFmtId="0" fontId="5" fillId="7" borderId="42" xfId="0" applyFont="1" applyFill="1" applyBorder="1" applyProtection="1"/>
    <xf numFmtId="0" fontId="5" fillId="0" borderId="42" xfId="0" applyFont="1" applyFill="1" applyBorder="1" applyProtection="1"/>
    <xf numFmtId="0" fontId="0" fillId="8" borderId="6" xfId="0" applyFill="1" applyBorder="1" applyAlignment="1" applyProtection="1">
      <alignment horizontal="center"/>
    </xf>
    <xf numFmtId="0" fontId="0" fillId="8" borderId="6" xfId="0" applyFill="1" applyBorder="1" applyAlignment="1" applyProtection="1">
      <alignment horizontal="center" vertical="center"/>
    </xf>
    <xf numFmtId="0" fontId="0" fillId="8" borderId="0" xfId="0" applyFill="1" applyBorder="1" applyAlignment="1" applyProtection="1">
      <alignment horizontal="center"/>
    </xf>
    <xf numFmtId="0" fontId="0" fillId="8" borderId="11" xfId="0" applyFill="1" applyBorder="1" applyAlignment="1" applyProtection="1">
      <alignment horizontal="center"/>
    </xf>
    <xf numFmtId="0" fontId="0" fillId="0" borderId="0" xfId="0" applyNumberFormat="1" applyFill="1" applyBorder="1" applyAlignment="1" applyProtection="1">
      <alignment horizontal="center"/>
    </xf>
    <xf numFmtId="0" fontId="2" fillId="0" borderId="0" xfId="0" applyNumberFormat="1" applyFont="1" applyFill="1" applyBorder="1" applyAlignment="1" applyProtection="1">
      <alignment horizontal="center" vertical="center"/>
    </xf>
    <xf numFmtId="0" fontId="0" fillId="8" borderId="11" xfId="0" applyNumberFormat="1" applyFill="1" applyBorder="1" applyAlignment="1" applyProtection="1">
      <alignment horizontal="center" vertical="center"/>
    </xf>
    <xf numFmtId="0" fontId="0" fillId="8" borderId="11" xfId="0" applyFill="1" applyBorder="1" applyAlignment="1" applyProtection="1">
      <alignment horizontal="center" vertical="center"/>
    </xf>
    <xf numFmtId="0" fontId="15" fillId="0" borderId="50" xfId="0" applyFont="1" applyBorder="1" applyProtection="1"/>
    <xf numFmtId="0" fontId="15" fillId="15" borderId="42" xfId="0" applyFont="1" applyFill="1" applyBorder="1" applyProtection="1"/>
    <xf numFmtId="0" fontId="15" fillId="15" borderId="51" xfId="0" applyFont="1" applyFill="1" applyBorder="1" applyProtection="1"/>
    <xf numFmtId="0" fontId="8" fillId="0" borderId="52" xfId="0" applyFont="1" applyBorder="1" applyProtection="1"/>
    <xf numFmtId="0" fontId="7" fillId="15" borderId="52" xfId="0" applyFont="1" applyFill="1" applyBorder="1" applyAlignment="1" applyProtection="1">
      <alignment horizontal="center"/>
    </xf>
    <xf numFmtId="0" fontId="11" fillId="0" borderId="0" xfId="0" applyFont="1" applyAlignment="1" applyProtection="1">
      <alignment horizontal="center" vertical="center"/>
    </xf>
    <xf numFmtId="0" fontId="7" fillId="0" borderId="0" xfId="0" applyFont="1" applyAlignment="1" applyProtection="1">
      <alignment horizontal="center"/>
    </xf>
    <xf numFmtId="0" fontId="11" fillId="10" borderId="55" xfId="0" applyFont="1" applyFill="1" applyBorder="1" applyAlignment="1" applyProtection="1">
      <alignment horizontal="right"/>
    </xf>
    <xf numFmtId="0" fontId="11" fillId="10" borderId="56" xfId="0" applyFont="1" applyFill="1" applyBorder="1" applyAlignment="1" applyProtection="1">
      <alignment horizontal="center"/>
    </xf>
    <xf numFmtId="0" fontId="8" fillId="16" borderId="57" xfId="0" applyFont="1" applyFill="1" applyBorder="1" applyAlignment="1" applyProtection="1">
      <alignment horizontal="center" vertical="center"/>
    </xf>
    <xf numFmtId="0" fontId="8" fillId="16" borderId="57" xfId="0" applyFont="1" applyFill="1" applyBorder="1" applyAlignment="1" applyProtection="1">
      <alignment horizontal="center"/>
    </xf>
    <xf numFmtId="0" fontId="11" fillId="10" borderId="53" xfId="0" applyFont="1" applyFill="1" applyBorder="1" applyAlignment="1" applyProtection="1">
      <alignment horizontal="right"/>
    </xf>
    <xf numFmtId="0" fontId="11" fillId="10" borderId="54" xfId="0" applyFont="1" applyFill="1" applyBorder="1" applyAlignment="1" applyProtection="1">
      <alignment horizontal="center"/>
    </xf>
    <xf numFmtId="0" fontId="8" fillId="16" borderId="0" xfId="0" applyFont="1" applyFill="1" applyAlignment="1" applyProtection="1">
      <alignment horizontal="center" vertical="center"/>
    </xf>
    <xf numFmtId="0" fontId="8" fillId="16" borderId="0" xfId="0" applyFont="1" applyFill="1" applyAlignment="1" applyProtection="1">
      <alignment horizontal="center"/>
    </xf>
    <xf numFmtId="0" fontId="11" fillId="10" borderId="54" xfId="0" applyFont="1" applyFill="1" applyBorder="1" applyAlignment="1" applyProtection="1">
      <alignment horizontal="center" vertical="center"/>
    </xf>
    <xf numFmtId="0" fontId="11" fillId="10" borderId="58" xfId="0" applyFont="1" applyFill="1" applyBorder="1" applyAlignment="1" applyProtection="1">
      <alignment horizontal="right"/>
    </xf>
    <xf numFmtId="0" fontId="11" fillId="10" borderId="59" xfId="0" applyFont="1" applyFill="1" applyBorder="1" applyAlignment="1" applyProtection="1">
      <alignment horizontal="center" vertical="center"/>
    </xf>
    <xf numFmtId="0" fontId="8" fillId="16" borderId="52" xfId="0" applyFont="1" applyFill="1" applyBorder="1" applyAlignment="1" applyProtection="1">
      <alignment horizontal="center"/>
    </xf>
    <xf numFmtId="0" fontId="23" fillId="0" borderId="53" xfId="0" applyFont="1" applyBorder="1" applyAlignment="1" applyProtection="1">
      <alignment horizontal="right" vertical="center" wrapText="1"/>
    </xf>
    <xf numFmtId="0" fontId="11" fillId="0" borderId="54" xfId="0" applyFont="1" applyBorder="1" applyAlignment="1" applyProtection="1">
      <alignment horizontal="center" vertical="center"/>
    </xf>
    <xf numFmtId="0" fontId="8" fillId="0" borderId="0" xfId="0" applyFont="1" applyAlignment="1" applyProtection="1">
      <alignment horizontal="center"/>
    </xf>
    <xf numFmtId="0" fontId="11" fillId="10" borderId="56" xfId="0" applyFont="1" applyFill="1" applyBorder="1" applyAlignment="1" applyProtection="1">
      <alignment horizontal="center" vertical="center"/>
    </xf>
    <xf numFmtId="0" fontId="8" fillId="16" borderId="52" xfId="0" applyFont="1" applyFill="1" applyBorder="1" applyAlignment="1" applyProtection="1">
      <alignment horizontal="center" vertical="center"/>
    </xf>
    <xf numFmtId="0" fontId="11" fillId="0" borderId="50" xfId="0" applyFont="1" applyBorder="1" applyProtection="1"/>
    <xf numFmtId="0" fontId="11" fillId="15" borderId="42" xfId="0" applyFont="1" applyFill="1" applyBorder="1" applyProtection="1"/>
    <xf numFmtId="0" fontId="11" fillId="15" borderId="51" xfId="0" applyFont="1" applyFill="1" applyBorder="1" applyProtection="1"/>
    <xf numFmtId="0" fontId="11" fillId="0" borderId="51" xfId="0" applyFont="1" applyBorder="1" applyProtection="1"/>
    <xf numFmtId="0" fontId="8" fillId="16" borderId="52" xfId="0" applyNumberFormat="1" applyFont="1" applyFill="1" applyBorder="1" applyAlignment="1" applyProtection="1">
      <alignment horizontal="center" vertical="center"/>
    </xf>
    <xf numFmtId="0" fontId="0" fillId="2" borderId="15" xfId="0" applyFill="1" applyBorder="1" applyAlignment="1" applyProtection="1">
      <alignment horizontal="center"/>
      <protection locked="0"/>
    </xf>
    <xf numFmtId="0" fontId="2" fillId="0" borderId="0" xfId="0" applyFont="1" applyFill="1" applyBorder="1" applyAlignment="1" applyProtection="1">
      <alignment horizontal="center" vertical="center"/>
    </xf>
    <xf numFmtId="0" fontId="8" fillId="0" borderId="0" xfId="0" applyFont="1" applyFill="1" applyBorder="1" applyAlignment="1" applyProtection="1">
      <alignment horizontal="center"/>
    </xf>
    <xf numFmtId="0" fontId="0" fillId="19" borderId="0" xfId="0" applyFill="1"/>
    <xf numFmtId="0" fontId="27" fillId="19" borderId="0" xfId="0" applyFont="1" applyFill="1" applyAlignment="1">
      <alignment horizontal="center"/>
    </xf>
    <xf numFmtId="0" fontId="0" fillId="19" borderId="0" xfId="0" applyFill="1" applyAlignment="1"/>
    <xf numFmtId="0" fontId="0" fillId="19" borderId="0" xfId="0" applyFill="1" applyAlignment="1">
      <alignment horizontal="left"/>
    </xf>
    <xf numFmtId="0" fontId="0" fillId="19" borderId="64" xfId="0" applyFill="1" applyBorder="1"/>
    <xf numFmtId="0" fontId="26" fillId="19" borderId="0" xfId="0" applyFont="1" applyFill="1"/>
    <xf numFmtId="0" fontId="26" fillId="19" borderId="64" xfId="0" applyFont="1" applyFill="1" applyBorder="1"/>
    <xf numFmtId="0" fontId="30" fillId="19" borderId="0" xfId="3" applyFont="1" applyFill="1" applyAlignment="1" applyProtection="1">
      <alignment horizontal="center" vertical="center"/>
      <protection locked="0"/>
    </xf>
    <xf numFmtId="0" fontId="3" fillId="19" borderId="0" xfId="0" applyFont="1" applyFill="1" applyAlignment="1">
      <alignment horizontal="center"/>
    </xf>
    <xf numFmtId="0" fontId="0" fillId="2" borderId="3" xfId="0" applyFill="1" applyBorder="1" applyAlignment="1" applyProtection="1">
      <alignment horizontal="center" vertical="center"/>
      <protection locked="0"/>
    </xf>
    <xf numFmtId="0" fontId="8" fillId="0" borderId="0" xfId="0" applyFont="1" applyFill="1" applyBorder="1" applyAlignment="1" applyProtection="1">
      <alignment horizontal="center"/>
      <protection locked="0"/>
    </xf>
    <xf numFmtId="0" fontId="8" fillId="0" borderId="6" xfId="0" applyFont="1" applyFill="1" applyBorder="1" applyAlignment="1" applyProtection="1">
      <alignment horizontal="center" vertical="center"/>
      <protection locked="0"/>
    </xf>
    <xf numFmtId="0" fontId="4" fillId="0" borderId="0" xfId="0" applyFont="1" applyFill="1" applyBorder="1" applyProtection="1"/>
    <xf numFmtId="0" fontId="4" fillId="0" borderId="0" xfId="0" applyFont="1" applyFill="1" applyAlignment="1" applyProtection="1">
      <alignment horizontal="left"/>
    </xf>
    <xf numFmtId="0" fontId="0" fillId="0" borderId="0" xfId="0" applyAlignment="1" applyProtection="1">
      <alignment horizontal="right" vertical="center"/>
    </xf>
    <xf numFmtId="0" fontId="0" fillId="0" borderId="0" xfId="0" applyFill="1" applyAlignment="1" applyProtection="1">
      <alignment horizontal="right" vertical="center"/>
    </xf>
    <xf numFmtId="0" fontId="5" fillId="0" borderId="0" xfId="0" applyFont="1" applyFill="1" applyBorder="1" applyAlignment="1" applyProtection="1">
      <alignment horizontal="right" vertical="center"/>
    </xf>
    <xf numFmtId="0" fontId="0" fillId="0" borderId="0" xfId="0" applyFont="1" applyAlignment="1" applyProtection="1">
      <alignment horizontal="center"/>
    </xf>
    <xf numFmtId="0" fontId="8" fillId="8" borderId="0" xfId="0" applyFont="1" applyFill="1" applyAlignment="1" applyProtection="1">
      <alignment horizontal="center" vertical="center"/>
    </xf>
    <xf numFmtId="0" fontId="8" fillId="8" borderId="6" xfId="0" applyFont="1" applyFill="1" applyBorder="1" applyAlignment="1" applyProtection="1">
      <alignment horizontal="center"/>
      <protection locked="0"/>
    </xf>
    <xf numFmtId="0" fontId="8" fillId="8" borderId="0" xfId="0" applyFont="1" applyFill="1" applyBorder="1" applyAlignment="1" applyProtection="1">
      <alignment horizontal="center"/>
      <protection locked="0"/>
    </xf>
    <xf numFmtId="0" fontId="8" fillId="8" borderId="11" xfId="0" applyFont="1" applyFill="1" applyBorder="1" applyAlignment="1" applyProtection="1">
      <alignment horizontal="center"/>
      <protection locked="0"/>
    </xf>
    <xf numFmtId="0" fontId="8" fillId="8" borderId="6" xfId="0" applyFont="1" applyFill="1" applyBorder="1" applyAlignment="1" applyProtection="1">
      <alignment horizontal="center" vertical="center"/>
      <protection locked="0"/>
    </xf>
    <xf numFmtId="0" fontId="8" fillId="8" borderId="11" xfId="0" applyFont="1" applyFill="1" applyBorder="1" applyAlignment="1" applyProtection="1">
      <alignment horizontal="center" vertical="center"/>
      <protection locked="0"/>
    </xf>
    <xf numFmtId="0" fontId="0" fillId="0" borderId="6" xfId="0" applyBorder="1" applyAlignment="1" applyProtection="1">
      <alignment vertical="center"/>
    </xf>
    <xf numFmtId="0" fontId="2" fillId="3" borderId="66" xfId="0" applyFont="1" applyFill="1" applyBorder="1" applyAlignment="1" applyProtection="1">
      <alignment horizontal="right"/>
    </xf>
    <xf numFmtId="0" fontId="2" fillId="3" borderId="67" xfId="0" applyFont="1" applyFill="1" applyBorder="1" applyAlignment="1" applyProtection="1">
      <alignment horizontal="center"/>
    </xf>
    <xf numFmtId="0" fontId="2" fillId="3" borderId="68" xfId="0" applyFont="1" applyFill="1" applyBorder="1" applyAlignment="1" applyProtection="1">
      <alignment horizontal="right"/>
    </xf>
    <xf numFmtId="0" fontId="2" fillId="3" borderId="69" xfId="0" applyFont="1" applyFill="1" applyBorder="1" applyAlignment="1" applyProtection="1">
      <alignment horizontal="center"/>
    </xf>
    <xf numFmtId="0" fontId="2" fillId="3" borderId="69" xfId="0" applyFont="1" applyFill="1" applyBorder="1" applyAlignment="1" applyProtection="1">
      <alignment horizontal="center" vertical="center"/>
    </xf>
    <xf numFmtId="0" fontId="2" fillId="3" borderId="70" xfId="0" applyFont="1" applyFill="1" applyBorder="1" applyAlignment="1" applyProtection="1">
      <alignment horizontal="right"/>
    </xf>
    <xf numFmtId="0" fontId="2" fillId="3" borderId="71" xfId="0" applyFont="1" applyFill="1" applyBorder="1" applyAlignment="1" applyProtection="1">
      <alignment horizontal="center" vertical="center"/>
    </xf>
    <xf numFmtId="0" fontId="2" fillId="3" borderId="66" xfId="0" applyFont="1" applyFill="1" applyBorder="1" applyAlignment="1" applyProtection="1">
      <alignment horizontal="right" vertical="center" wrapText="1"/>
    </xf>
    <xf numFmtId="0" fontId="2" fillId="3" borderId="67" xfId="0" applyFont="1" applyFill="1" applyBorder="1" applyAlignment="1" applyProtection="1">
      <alignment horizontal="center" vertical="center"/>
    </xf>
    <xf numFmtId="0" fontId="2" fillId="0" borderId="11" xfId="0" applyFont="1" applyBorder="1" applyProtection="1"/>
    <xf numFmtId="0" fontId="2" fillId="0" borderId="72" xfId="0" applyFont="1" applyFill="1" applyBorder="1" applyProtection="1"/>
    <xf numFmtId="0" fontId="2" fillId="0" borderId="11" xfId="0" applyFont="1" applyFill="1" applyBorder="1" applyProtection="1"/>
    <xf numFmtId="0" fontId="2" fillId="0" borderId="11" xfId="0" applyFont="1" applyBorder="1"/>
    <xf numFmtId="0" fontId="0" fillId="0" borderId="3" xfId="0" applyFill="1" applyBorder="1" applyProtection="1"/>
    <xf numFmtId="0" fontId="2" fillId="7" borderId="73" xfId="0" applyFont="1" applyFill="1" applyBorder="1" applyProtection="1"/>
    <xf numFmtId="0" fontId="2" fillId="0" borderId="73" xfId="0" applyFont="1" applyFill="1" applyBorder="1" applyProtection="1"/>
    <xf numFmtId="0" fontId="0" fillId="8" borderId="3" xfId="0" applyFont="1" applyFill="1" applyBorder="1" applyAlignment="1" applyProtection="1">
      <alignment horizontal="center" vertical="center"/>
      <protection locked="0"/>
    </xf>
    <xf numFmtId="0" fontId="31" fillId="8" borderId="3" xfId="0" applyFont="1" applyFill="1" applyBorder="1" applyAlignment="1" applyProtection="1">
      <alignment horizontal="center" vertical="center"/>
      <protection locked="0"/>
    </xf>
    <xf numFmtId="0" fontId="31" fillId="0" borderId="3" xfId="0" applyFont="1" applyFill="1" applyBorder="1" applyAlignment="1" applyProtection="1">
      <alignment horizontal="center" vertical="center"/>
      <protection locked="0"/>
    </xf>
    <xf numFmtId="0" fontId="0" fillId="0" borderId="3" xfId="0" applyFont="1" applyFill="1" applyBorder="1" applyAlignment="1" applyProtection="1">
      <alignment horizontal="center"/>
      <protection locked="0"/>
    </xf>
    <xf numFmtId="0" fontId="8" fillId="20" borderId="62" xfId="0" applyFont="1" applyFill="1" applyBorder="1" applyProtection="1"/>
    <xf numFmtId="0" fontId="2" fillId="3" borderId="12" xfId="0" applyFont="1" applyFill="1" applyBorder="1" applyAlignment="1" applyProtection="1">
      <alignment horizontal="center" vertical="center"/>
    </xf>
    <xf numFmtId="0" fontId="0" fillId="2" borderId="3" xfId="0" applyFill="1" applyBorder="1" applyAlignment="1" applyProtection="1">
      <alignment horizontal="center" vertical="center"/>
      <protection locked="0"/>
    </xf>
    <xf numFmtId="0" fontId="2" fillId="3" borderId="7" xfId="0" applyFont="1" applyFill="1" applyBorder="1" applyAlignment="1" applyProtection="1">
      <alignment horizontal="center"/>
    </xf>
    <xf numFmtId="0" fontId="8" fillId="0" borderId="6" xfId="0" applyFont="1" applyFill="1" applyBorder="1" applyAlignment="1" applyProtection="1">
      <alignment horizontal="center"/>
      <protection locked="0"/>
    </xf>
    <xf numFmtId="0" fontId="8" fillId="0" borderId="11" xfId="0" applyFont="1" applyFill="1" applyBorder="1" applyAlignment="1" applyProtection="1">
      <alignment horizontal="center"/>
      <protection locked="0"/>
    </xf>
    <xf numFmtId="0" fontId="8" fillId="0" borderId="11" xfId="0" applyFont="1" applyFill="1" applyBorder="1" applyAlignment="1" applyProtection="1">
      <alignment horizontal="center" vertical="center"/>
      <protection locked="0"/>
    </xf>
    <xf numFmtId="0" fontId="6" fillId="0" borderId="6" xfId="0" applyFont="1" applyFill="1" applyBorder="1" applyAlignment="1" applyProtection="1">
      <alignment horizontal="center"/>
    </xf>
    <xf numFmtId="0" fontId="0" fillId="0" borderId="11" xfId="0" applyFill="1" applyBorder="1" applyProtection="1"/>
    <xf numFmtId="0" fontId="0" fillId="0" borderId="0" xfId="0" applyFill="1" applyBorder="1"/>
    <xf numFmtId="0" fontId="0" fillId="0" borderId="11" xfId="0" applyFill="1" applyBorder="1"/>
    <xf numFmtId="0" fontId="0" fillId="0" borderId="48" xfId="0" applyFill="1" applyBorder="1"/>
    <xf numFmtId="0" fontId="0" fillId="0" borderId="80" xfId="0" applyBorder="1" applyProtection="1"/>
    <xf numFmtId="0" fontId="0" fillId="0" borderId="81" xfId="0" applyBorder="1" applyProtection="1"/>
    <xf numFmtId="0" fontId="0" fillId="0" borderId="81" xfId="0" applyFill="1" applyBorder="1" applyProtection="1"/>
    <xf numFmtId="0" fontId="0" fillId="0" borderId="48" xfId="0" applyFill="1" applyBorder="1" applyProtection="1"/>
    <xf numFmtId="0" fontId="11" fillId="0" borderId="48" xfId="0" applyFont="1" applyFill="1" applyBorder="1" applyAlignment="1" applyProtection="1">
      <alignment horizontal="center"/>
    </xf>
    <xf numFmtId="166" fontId="0" fillId="0" borderId="48" xfId="0" applyNumberFormat="1" applyFill="1" applyBorder="1" applyAlignment="1" applyProtection="1">
      <alignment horizontal="center" vertical="center"/>
    </xf>
    <xf numFmtId="0" fontId="0" fillId="0" borderId="47" xfId="0" applyFill="1" applyBorder="1" applyProtection="1"/>
    <xf numFmtId="0" fontId="0" fillId="0" borderId="49" xfId="0" applyFill="1" applyBorder="1" applyProtection="1"/>
    <xf numFmtId="0" fontId="0" fillId="0" borderId="84" xfId="0" applyFill="1" applyBorder="1" applyProtection="1"/>
    <xf numFmtId="0" fontId="4" fillId="0" borderId="85" xfId="0" applyFont="1" applyFill="1" applyBorder="1" applyProtection="1"/>
    <xf numFmtId="0" fontId="0" fillId="0" borderId="86" xfId="0" applyFill="1" applyBorder="1" applyProtection="1"/>
    <xf numFmtId="0" fontId="0" fillId="0" borderId="12" xfId="0" applyFill="1" applyBorder="1" applyProtection="1"/>
    <xf numFmtId="0" fontId="2" fillId="14" borderId="0" xfId="0" applyFont="1" applyFill="1" applyBorder="1" applyAlignment="1" applyProtection="1">
      <alignment horizontal="center" vertical="center"/>
    </xf>
    <xf numFmtId="0" fontId="0" fillId="0" borderId="21" xfId="0" applyBorder="1" applyProtection="1"/>
    <xf numFmtId="0" fontId="0" fillId="0" borderId="45" xfId="0" applyBorder="1" applyProtection="1"/>
    <xf numFmtId="0" fontId="0" fillId="0" borderId="19" xfId="0" applyFill="1" applyBorder="1" applyProtection="1"/>
    <xf numFmtId="0" fontId="0" fillId="0" borderId="98" xfId="0" applyFill="1" applyBorder="1" applyProtection="1"/>
    <xf numFmtId="0" fontId="0" fillId="0" borderId="82" xfId="0" applyFill="1" applyBorder="1" applyProtection="1"/>
    <xf numFmtId="0" fontId="0" fillId="0" borderId="45" xfId="0" applyBorder="1"/>
    <xf numFmtId="0" fontId="0" fillId="14" borderId="98" xfId="0" applyFill="1" applyBorder="1" applyProtection="1"/>
    <xf numFmtId="0" fontId="0" fillId="14" borderId="74" xfId="0" applyFill="1" applyBorder="1" applyProtection="1"/>
    <xf numFmtId="0" fontId="0" fillId="14" borderId="19" xfId="0" applyFill="1" applyBorder="1" applyProtection="1"/>
    <xf numFmtId="0" fontId="0" fillId="14" borderId="46" xfId="0" applyFill="1" applyBorder="1" applyProtection="1"/>
    <xf numFmtId="0" fontId="0" fillId="14" borderId="76" xfId="0" applyFill="1" applyBorder="1" applyProtection="1"/>
    <xf numFmtId="0" fontId="0" fillId="14" borderId="77" xfId="0" applyFill="1" applyBorder="1" applyProtection="1"/>
    <xf numFmtId="0" fontId="0" fillId="14" borderId="78" xfId="0" applyFill="1" applyBorder="1" applyProtection="1"/>
    <xf numFmtId="0" fontId="0" fillId="14" borderId="47" xfId="0" applyFill="1" applyBorder="1" applyProtection="1"/>
    <xf numFmtId="0" fontId="2" fillId="14" borderId="48" xfId="0" applyFont="1" applyFill="1" applyBorder="1" applyAlignment="1" applyProtection="1">
      <alignment horizontal="center"/>
    </xf>
    <xf numFmtId="0" fontId="0" fillId="14" borderId="48" xfId="0" applyFill="1" applyBorder="1" applyAlignment="1" applyProtection="1">
      <alignment horizontal="center" vertical="center"/>
    </xf>
    <xf numFmtId="0" fontId="0" fillId="14" borderId="49" xfId="0" applyFill="1" applyBorder="1" applyProtection="1"/>
    <xf numFmtId="0" fontId="0" fillId="14" borderId="19" xfId="0" applyFill="1" applyBorder="1"/>
    <xf numFmtId="0" fontId="0" fillId="14" borderId="0" xfId="0" applyFill="1" applyBorder="1"/>
    <xf numFmtId="0" fontId="0" fillId="14" borderId="46" xfId="0" applyFill="1" applyBorder="1"/>
    <xf numFmtId="0" fontId="32" fillId="14" borderId="21" xfId="0" applyFont="1" applyFill="1" applyBorder="1" applyAlignment="1">
      <alignment vertical="center"/>
    </xf>
    <xf numFmtId="0" fontId="0" fillId="14" borderId="45" xfId="0" applyFill="1" applyBorder="1"/>
    <xf numFmtId="0" fontId="0" fillId="0" borderId="19" xfId="0" applyFill="1" applyBorder="1"/>
    <xf numFmtId="0" fontId="6" fillId="0" borderId="98" xfId="0" applyFont="1" applyFill="1" applyBorder="1" applyAlignment="1" applyProtection="1">
      <alignment horizontal="center"/>
    </xf>
    <xf numFmtId="0" fontId="0" fillId="0" borderId="48" xfId="0" applyBorder="1" applyProtection="1"/>
    <xf numFmtId="0" fontId="0" fillId="0" borderId="49" xfId="0" applyBorder="1" applyProtection="1"/>
    <xf numFmtId="2" fontId="0" fillId="8" borderId="12" xfId="0" applyNumberFormat="1" applyFill="1" applyBorder="1" applyAlignment="1" applyProtection="1">
      <alignment horizontal="center" vertical="center"/>
      <protection locked="0"/>
    </xf>
    <xf numFmtId="0" fontId="8" fillId="20" borderId="62" xfId="0" applyFont="1" applyFill="1" applyBorder="1" applyAlignment="1" applyProtection="1">
      <alignment horizontal="center"/>
    </xf>
    <xf numFmtId="0" fontId="4" fillId="0" borderId="4" xfId="0" applyFont="1" applyFill="1" applyBorder="1" applyProtection="1"/>
    <xf numFmtId="0" fontId="0" fillId="0" borderId="8" xfId="0" applyFill="1" applyBorder="1"/>
    <xf numFmtId="0" fontId="0" fillId="0" borderId="9" xfId="0" applyFill="1" applyBorder="1"/>
    <xf numFmtId="0" fontId="2" fillId="3" borderId="70" xfId="0" applyFont="1" applyFill="1" applyBorder="1" applyAlignment="1" applyProtection="1">
      <alignment horizontal="right" wrapText="1"/>
    </xf>
    <xf numFmtId="0" fontId="4" fillId="0" borderId="0" xfId="0" applyFont="1" applyFill="1"/>
    <xf numFmtId="0" fontId="2" fillId="3" borderId="1" xfId="0" applyFont="1" applyFill="1" applyBorder="1" applyAlignment="1" applyProtection="1">
      <alignment horizontal="center"/>
    </xf>
    <xf numFmtId="0" fontId="0" fillId="14" borderId="20" xfId="0" applyFill="1" applyBorder="1" applyProtection="1"/>
    <xf numFmtId="0" fontId="0" fillId="14" borderId="45" xfId="0" applyFill="1" applyBorder="1" applyProtection="1"/>
    <xf numFmtId="0" fontId="4" fillId="14" borderId="46" xfId="0" applyFont="1" applyFill="1" applyBorder="1"/>
    <xf numFmtId="0" fontId="0" fillId="14" borderId="48" xfId="0" applyFill="1" applyBorder="1"/>
    <xf numFmtId="166" fontId="0" fillId="14" borderId="0" xfId="0" applyNumberFormat="1" applyFill="1" applyBorder="1" applyAlignment="1" applyProtection="1">
      <alignment horizontal="center" vertical="center"/>
    </xf>
    <xf numFmtId="0" fontId="11" fillId="14" borderId="0" xfId="0" applyFont="1" applyFill="1" applyBorder="1" applyAlignment="1" applyProtection="1">
      <alignment horizontal="center"/>
    </xf>
    <xf numFmtId="0" fontId="4" fillId="0" borderId="7" xfId="0" applyFont="1" applyBorder="1" applyProtection="1"/>
    <xf numFmtId="0" fontId="4" fillId="0" borderId="9" xfId="0" applyFont="1" applyBorder="1" applyProtection="1"/>
    <xf numFmtId="0" fontId="4" fillId="0" borderId="9" xfId="0" applyFont="1" applyFill="1" applyBorder="1" applyProtection="1"/>
    <xf numFmtId="0" fontId="0" fillId="14" borderId="83" xfId="0" applyFill="1" applyBorder="1" applyProtection="1"/>
    <xf numFmtId="0" fontId="4" fillId="0" borderId="12" xfId="0" applyFont="1" applyFill="1" applyBorder="1" applyProtection="1"/>
    <xf numFmtId="0" fontId="35" fillId="14" borderId="105" xfId="0" applyFont="1" applyFill="1" applyBorder="1" applyAlignment="1" applyProtection="1">
      <alignment vertical="center"/>
    </xf>
    <xf numFmtId="0" fontId="0" fillId="14" borderId="79" xfId="0" applyFill="1" applyBorder="1" applyProtection="1"/>
    <xf numFmtId="0" fontId="4" fillId="0" borderId="83" xfId="0" applyFont="1" applyBorder="1"/>
    <xf numFmtId="0" fontId="4" fillId="0" borderId="75" xfId="0" applyFont="1" applyBorder="1"/>
    <xf numFmtId="0" fontId="4" fillId="0" borderId="46" xfId="0" applyFont="1" applyBorder="1"/>
    <xf numFmtId="0" fontId="4" fillId="0" borderId="76" xfId="0" applyFont="1" applyBorder="1"/>
    <xf numFmtId="0" fontId="4" fillId="0" borderId="78" xfId="0" applyFont="1" applyBorder="1"/>
    <xf numFmtId="0" fontId="4" fillId="0" borderId="77" xfId="0" applyFont="1" applyBorder="1"/>
    <xf numFmtId="0" fontId="4" fillId="0" borderId="79" xfId="0" applyFont="1" applyBorder="1"/>
    <xf numFmtId="0" fontId="4" fillId="0" borderId="0" xfId="0" applyFont="1" applyBorder="1" applyAlignment="1" applyProtection="1">
      <alignment horizontal="center"/>
    </xf>
    <xf numFmtId="0" fontId="4" fillId="0" borderId="0" xfId="0" applyFont="1" applyBorder="1" applyAlignment="1" applyProtection="1">
      <alignment vertical="center"/>
    </xf>
    <xf numFmtId="0" fontId="4" fillId="0" borderId="0" xfId="0" applyFont="1" applyBorder="1"/>
    <xf numFmtId="0" fontId="0" fillId="14" borderId="47" xfId="0" applyFill="1" applyBorder="1"/>
    <xf numFmtId="0" fontId="0" fillId="14" borderId="49" xfId="0" applyFill="1" applyBorder="1"/>
    <xf numFmtId="166" fontId="0" fillId="4" borderId="1" xfId="0" applyNumberFormat="1" applyFill="1" applyBorder="1" applyAlignment="1" applyProtection="1">
      <alignment horizontal="center" vertical="center"/>
    </xf>
    <xf numFmtId="166" fontId="0" fillId="2" borderId="1" xfId="0" applyNumberFormat="1" applyFill="1" applyBorder="1" applyAlignment="1" applyProtection="1">
      <alignment horizontal="center" vertical="center"/>
      <protection locked="0"/>
    </xf>
    <xf numFmtId="0" fontId="8" fillId="8" borderId="57" xfId="0" applyFont="1" applyFill="1" applyBorder="1" applyAlignment="1" applyProtection="1">
      <alignment horizontal="center" vertical="center"/>
      <protection locked="0"/>
    </xf>
    <xf numFmtId="0" fontId="0" fillId="0" borderId="6" xfId="0" applyBorder="1" applyAlignment="1" applyProtection="1">
      <alignment horizontal="center"/>
      <protection locked="0"/>
    </xf>
    <xf numFmtId="0" fontId="8" fillId="8" borderId="0" xfId="0" applyFont="1" applyFill="1" applyAlignment="1" applyProtection="1">
      <alignment horizontal="center" vertical="center"/>
      <protection locked="0"/>
    </xf>
    <xf numFmtId="0" fontId="0" fillId="0" borderId="0" xfId="0" applyBorder="1" applyAlignment="1" applyProtection="1">
      <alignment horizontal="center"/>
      <protection locked="0"/>
    </xf>
    <xf numFmtId="0" fontId="8" fillId="8" borderId="0" xfId="0" applyFont="1" applyFill="1" applyAlignment="1" applyProtection="1">
      <alignment horizontal="center"/>
      <protection locked="0"/>
    </xf>
    <xf numFmtId="0" fontId="8" fillId="8" borderId="52" xfId="0" applyFont="1" applyFill="1" applyBorder="1" applyAlignment="1" applyProtection="1">
      <alignment horizontal="center"/>
      <protection locked="0"/>
    </xf>
    <xf numFmtId="0" fontId="0" fillId="0" borderId="11" xfId="0" applyBorder="1" applyAlignment="1" applyProtection="1">
      <alignment horizontal="center"/>
      <protection locked="0"/>
    </xf>
    <xf numFmtId="0" fontId="0" fillId="0" borderId="6" xfId="0" applyBorder="1" applyAlignment="1" applyProtection="1">
      <alignment horizontal="center" vertical="center"/>
      <protection locked="0"/>
    </xf>
    <xf numFmtId="0" fontId="8" fillId="0" borderId="0" xfId="0" applyFont="1" applyFill="1" applyAlignment="1" applyProtection="1">
      <alignment horizontal="center"/>
      <protection locked="0"/>
    </xf>
    <xf numFmtId="0" fontId="8" fillId="8" borderId="52" xfId="0" applyNumberFormat="1"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xf>
    <xf numFmtId="0" fontId="0" fillId="19" borderId="0" xfId="0" applyFill="1" applyAlignment="1">
      <alignment horizontal="left"/>
    </xf>
    <xf numFmtId="0" fontId="7" fillId="19" borderId="0" xfId="0" applyFont="1" applyFill="1" applyAlignment="1"/>
    <xf numFmtId="0" fontId="38" fillId="19" borderId="0" xfId="0" applyFont="1" applyFill="1" applyAlignment="1">
      <alignment vertical="center"/>
    </xf>
    <xf numFmtId="0" fontId="8" fillId="0" borderId="57" xfId="0" applyFont="1" applyFill="1" applyBorder="1" applyAlignment="1" applyProtection="1">
      <alignment horizontal="center" vertical="center"/>
      <protection locked="0"/>
    </xf>
    <xf numFmtId="0" fontId="0" fillId="12" borderId="1" xfId="0" applyFill="1" applyBorder="1" applyAlignment="1" applyProtection="1">
      <alignment horizontal="center"/>
    </xf>
    <xf numFmtId="0" fontId="0" fillId="12" borderId="13" xfId="0" applyFill="1" applyBorder="1" applyAlignment="1" applyProtection="1">
      <alignment horizontal="center"/>
    </xf>
    <xf numFmtId="0" fontId="0" fillId="12" borderId="14" xfId="0" applyFill="1" applyBorder="1" applyAlignment="1" applyProtection="1">
      <alignment horizontal="center"/>
    </xf>
    <xf numFmtId="166" fontId="0" fillId="12" borderId="15" xfId="0" applyNumberFormat="1" applyFill="1" applyBorder="1" applyAlignment="1" applyProtection="1">
      <alignment horizontal="center"/>
    </xf>
    <xf numFmtId="0" fontId="24" fillId="19" borderId="0" xfId="0" applyFont="1" applyFill="1" applyAlignment="1">
      <alignment horizontal="center" vertical="center" wrapText="1"/>
    </xf>
    <xf numFmtId="0" fontId="25" fillId="3" borderId="0" xfId="0" quotePrefix="1" applyFont="1" applyFill="1" applyBorder="1" applyAlignment="1">
      <alignment horizontal="center" vertical="center" wrapText="1"/>
    </xf>
    <xf numFmtId="0" fontId="24" fillId="19" borderId="0" xfId="0" applyFont="1" applyFill="1" applyAlignment="1">
      <alignment horizontal="center" vertical="center"/>
    </xf>
    <xf numFmtId="0" fontId="29" fillId="19" borderId="0" xfId="0" applyFont="1" applyFill="1" applyAlignment="1">
      <alignment horizontal="center"/>
    </xf>
    <xf numFmtId="0" fontId="28" fillId="19" borderId="0" xfId="3" applyFill="1" applyAlignment="1">
      <alignment horizontal="center"/>
    </xf>
    <xf numFmtId="0" fontId="0" fillId="19" borderId="65" xfId="0" applyFill="1" applyBorder="1" applyAlignment="1">
      <alignment horizontal="justify" vertical="center" wrapText="1"/>
    </xf>
    <xf numFmtId="0" fontId="0" fillId="19" borderId="65" xfId="0" applyFill="1" applyBorder="1" applyAlignment="1">
      <alignment horizontal="justify" vertical="center"/>
    </xf>
    <xf numFmtId="0" fontId="28" fillId="19" borderId="0" xfId="3" applyFill="1" applyAlignment="1">
      <alignment horizontal="center" vertical="center"/>
    </xf>
    <xf numFmtId="0" fontId="0" fillId="19" borderId="0" xfId="0" applyFont="1" applyFill="1" applyAlignment="1">
      <alignment horizontal="left" wrapText="1"/>
    </xf>
    <xf numFmtId="0" fontId="0" fillId="19" borderId="0" xfId="0" applyFont="1" applyFill="1" applyAlignment="1">
      <alignment horizontal="left"/>
    </xf>
    <xf numFmtId="0" fontId="0" fillId="19" borderId="65" xfId="0" applyFill="1" applyBorder="1" applyAlignment="1">
      <alignment horizontal="center"/>
    </xf>
    <xf numFmtId="0" fontId="0" fillId="19" borderId="0" xfId="0" applyFill="1" applyAlignment="1">
      <alignment horizontal="left"/>
    </xf>
    <xf numFmtId="0" fontId="5" fillId="3" borderId="2" xfId="0" applyFont="1" applyFill="1" applyBorder="1" applyAlignment="1">
      <alignment horizontal="center"/>
    </xf>
    <xf numFmtId="0" fontId="5" fillId="3" borderId="4" xfId="0" applyFont="1" applyFill="1" applyBorder="1" applyAlignment="1">
      <alignment horizontal="center"/>
    </xf>
    <xf numFmtId="0" fontId="5" fillId="3" borderId="3" xfId="0" applyFont="1" applyFill="1" applyBorder="1" applyAlignment="1">
      <alignment horizontal="center"/>
    </xf>
    <xf numFmtId="0" fontId="6" fillId="3" borderId="31" xfId="0" applyFont="1" applyFill="1" applyBorder="1" applyAlignment="1">
      <alignment horizontal="center"/>
    </xf>
    <xf numFmtId="0" fontId="6" fillId="3" borderId="32" xfId="0" applyFont="1" applyFill="1" applyBorder="1" applyAlignment="1">
      <alignment horizontal="center"/>
    </xf>
    <xf numFmtId="0" fontId="6" fillId="3" borderId="33" xfId="0" applyFont="1" applyFill="1" applyBorder="1" applyAlignment="1">
      <alignment horizontal="center"/>
    </xf>
    <xf numFmtId="0" fontId="2" fillId="3" borderId="34" xfId="0" applyFont="1" applyFill="1" applyBorder="1" applyAlignment="1">
      <alignment horizontal="center" vertical="center"/>
    </xf>
    <xf numFmtId="0" fontId="2" fillId="3" borderId="36" xfId="0" applyFont="1" applyFill="1" applyBorder="1" applyAlignment="1">
      <alignment horizontal="center" vertical="center"/>
    </xf>
    <xf numFmtId="0" fontId="2" fillId="3" borderId="31" xfId="0" applyFont="1" applyFill="1" applyBorder="1" applyAlignment="1">
      <alignment horizontal="center" vertical="center"/>
    </xf>
    <xf numFmtId="0" fontId="2" fillId="3" borderId="33" xfId="0" applyFont="1" applyFill="1" applyBorder="1" applyAlignment="1">
      <alignment horizontal="center" vertical="center"/>
    </xf>
    <xf numFmtId="0" fontId="2" fillId="3" borderId="27" xfId="0" applyFont="1" applyFill="1" applyBorder="1" applyAlignment="1">
      <alignment horizontal="center" vertical="center" wrapText="1"/>
    </xf>
    <xf numFmtId="0" fontId="2" fillId="3" borderId="28" xfId="0" applyFont="1" applyFill="1" applyBorder="1" applyAlignment="1">
      <alignment horizontal="center" vertical="center" wrapText="1"/>
    </xf>
    <xf numFmtId="0" fontId="2" fillId="3" borderId="31" xfId="0" applyFont="1" applyFill="1" applyBorder="1" applyAlignment="1">
      <alignment horizontal="center" vertical="center" wrapText="1"/>
    </xf>
    <xf numFmtId="0" fontId="2" fillId="3" borderId="33" xfId="0" applyFont="1" applyFill="1" applyBorder="1" applyAlignment="1">
      <alignment horizontal="center" vertical="center" wrapText="1"/>
    </xf>
    <xf numFmtId="1" fontId="0" fillId="6" borderId="38" xfId="0" applyNumberFormat="1" applyFill="1" applyBorder="1" applyAlignment="1">
      <alignment horizontal="center" vertical="center"/>
    </xf>
    <xf numFmtId="1" fontId="0" fillId="6" borderId="40" xfId="0" applyNumberFormat="1" applyFill="1" applyBorder="1" applyAlignment="1">
      <alignment horizontal="center" vertical="center"/>
    </xf>
    <xf numFmtId="0" fontId="2" fillId="3" borderId="34" xfId="0" applyFont="1" applyFill="1" applyBorder="1" applyAlignment="1">
      <alignment horizontal="center"/>
    </xf>
    <xf numFmtId="0" fontId="2" fillId="3" borderId="37" xfId="0" applyFont="1" applyFill="1" applyBorder="1" applyAlignment="1">
      <alignment horizontal="center"/>
    </xf>
    <xf numFmtId="0" fontId="2" fillId="3" borderId="36" xfId="0" applyFont="1" applyFill="1" applyBorder="1" applyAlignment="1">
      <alignment horizontal="center"/>
    </xf>
    <xf numFmtId="166" fontId="0" fillId="6" borderId="10" xfId="0" applyNumberFormat="1" applyFill="1" applyBorder="1" applyAlignment="1">
      <alignment horizontal="center"/>
    </xf>
    <xf numFmtId="166" fontId="0" fillId="6" borderId="12" xfId="0" applyNumberFormat="1" applyFill="1" applyBorder="1" applyAlignment="1">
      <alignment horizontal="center"/>
    </xf>
    <xf numFmtId="0" fontId="6" fillId="3" borderId="0" xfId="0" applyFont="1" applyFill="1" applyAlignment="1">
      <alignment horizontal="center"/>
    </xf>
    <xf numFmtId="0" fontId="2" fillId="3" borderId="2" xfId="0" applyFont="1" applyFill="1" applyBorder="1" applyAlignment="1">
      <alignment horizontal="center" vertical="center"/>
    </xf>
    <xf numFmtId="0" fontId="2" fillId="3" borderId="3" xfId="0" applyFont="1" applyFill="1" applyBorder="1" applyAlignment="1">
      <alignment horizontal="center" vertical="center"/>
    </xf>
    <xf numFmtId="0" fontId="2" fillId="3" borderId="5" xfId="0" applyFont="1" applyFill="1" applyBorder="1" applyAlignment="1">
      <alignment horizontal="center" vertical="center" wrapText="1"/>
    </xf>
    <xf numFmtId="0" fontId="2" fillId="3" borderId="6" xfId="0" applyFont="1" applyFill="1" applyBorder="1" applyAlignment="1">
      <alignment horizontal="center" vertical="center" wrapText="1"/>
    </xf>
    <xf numFmtId="0" fontId="2" fillId="3" borderId="5" xfId="0" applyFont="1" applyFill="1" applyBorder="1" applyAlignment="1">
      <alignment horizontal="center"/>
    </xf>
    <xf numFmtId="0" fontId="2" fillId="3" borderId="3" xfId="0" applyFont="1" applyFill="1" applyBorder="1" applyAlignment="1">
      <alignment horizontal="center"/>
    </xf>
    <xf numFmtId="0" fontId="2" fillId="3" borderId="4" xfId="0" applyFont="1" applyFill="1" applyBorder="1" applyAlignment="1">
      <alignment horizontal="center"/>
    </xf>
    <xf numFmtId="166" fontId="0" fillId="6" borderId="5" xfId="0" applyNumberFormat="1" applyFill="1" applyBorder="1" applyAlignment="1">
      <alignment horizontal="center"/>
    </xf>
    <xf numFmtId="166" fontId="0" fillId="17" borderId="7" xfId="0" applyNumberFormat="1" applyFill="1" applyBorder="1" applyAlignment="1">
      <alignment horizontal="center"/>
    </xf>
    <xf numFmtId="166" fontId="0" fillId="6" borderId="8" xfId="0" applyNumberFormat="1" applyFill="1" applyBorder="1" applyAlignment="1">
      <alignment horizontal="center"/>
    </xf>
    <xf numFmtId="166" fontId="0" fillId="17" borderId="9" xfId="0" applyNumberFormat="1" applyFill="1" applyBorder="1" applyAlignment="1">
      <alignment horizontal="center"/>
    </xf>
    <xf numFmtId="0" fontId="2" fillId="3" borderId="35" xfId="0" applyFont="1" applyFill="1" applyBorder="1" applyAlignment="1">
      <alignment horizontal="center"/>
    </xf>
    <xf numFmtId="0" fontId="6" fillId="3" borderId="34" xfId="0" applyFont="1" applyFill="1" applyBorder="1" applyAlignment="1">
      <alignment horizontal="center"/>
    </xf>
    <xf numFmtId="0" fontId="6" fillId="3" borderId="37" xfId="0" applyFont="1" applyFill="1" applyBorder="1" applyAlignment="1">
      <alignment horizontal="center"/>
    </xf>
    <xf numFmtId="0" fontId="6" fillId="3" borderId="36" xfId="0" applyFont="1" applyFill="1" applyBorder="1" applyAlignment="1">
      <alignment horizontal="center"/>
    </xf>
    <xf numFmtId="0" fontId="5" fillId="3" borderId="34" xfId="0" applyFont="1" applyFill="1" applyBorder="1" applyAlignment="1">
      <alignment horizontal="center"/>
    </xf>
    <xf numFmtId="0" fontId="5" fillId="3" borderId="37" xfId="0" applyFont="1" applyFill="1" applyBorder="1" applyAlignment="1">
      <alignment horizontal="center"/>
    </xf>
    <xf numFmtId="0" fontId="5" fillId="3" borderId="36" xfId="0" applyFont="1" applyFill="1" applyBorder="1" applyAlignment="1">
      <alignment horizontal="center"/>
    </xf>
    <xf numFmtId="166" fontId="0" fillId="6" borderId="9" xfId="0" applyNumberFormat="1" applyFill="1" applyBorder="1" applyAlignment="1">
      <alignment horizontal="center"/>
    </xf>
    <xf numFmtId="0" fontId="5" fillId="3" borderId="35" xfId="0" applyFont="1" applyFill="1" applyBorder="1" applyAlignment="1">
      <alignment horizontal="center"/>
    </xf>
    <xf numFmtId="166" fontId="0" fillId="6" borderId="7" xfId="0" applyNumberFormat="1" applyFill="1" applyBorder="1" applyAlignment="1">
      <alignment horizontal="center"/>
    </xf>
    <xf numFmtId="166" fontId="0" fillId="7" borderId="63" xfId="0" applyNumberFormat="1" applyFill="1" applyBorder="1" applyAlignment="1">
      <alignment horizontal="center"/>
    </xf>
    <xf numFmtId="0" fontId="2" fillId="3" borderId="37" xfId="0" applyFont="1" applyFill="1" applyBorder="1" applyAlignment="1">
      <alignment horizontal="center" vertical="center"/>
    </xf>
    <xf numFmtId="0" fontId="2" fillId="3" borderId="2" xfId="0" applyFont="1" applyFill="1" applyBorder="1" applyAlignment="1" applyProtection="1">
      <alignment horizontal="center" vertical="center"/>
    </xf>
    <xf numFmtId="0" fontId="2" fillId="3" borderId="4" xfId="0" applyFont="1" applyFill="1" applyBorder="1" applyAlignment="1" applyProtection="1">
      <alignment horizontal="center" vertical="center"/>
    </xf>
    <xf numFmtId="0" fontId="11" fillId="10" borderId="2" xfId="0" applyFont="1" applyFill="1" applyBorder="1" applyAlignment="1" applyProtection="1">
      <alignment horizontal="center" vertical="center"/>
    </xf>
    <xf numFmtId="0" fontId="11" fillId="10" borderId="4" xfId="0" applyFont="1" applyFill="1" applyBorder="1" applyAlignment="1" applyProtection="1">
      <alignment horizontal="center" vertical="center"/>
    </xf>
    <xf numFmtId="0" fontId="11" fillId="14" borderId="0" xfId="0" applyFont="1" applyFill="1" applyBorder="1" applyAlignment="1" applyProtection="1">
      <alignment horizontal="center"/>
    </xf>
    <xf numFmtId="0" fontId="11" fillId="10" borderId="5" xfId="0" applyFont="1" applyFill="1" applyBorder="1" applyAlignment="1" applyProtection="1">
      <alignment horizontal="center"/>
    </xf>
    <xf numFmtId="0" fontId="11" fillId="10" borderId="7" xfId="0" applyFont="1" applyFill="1" applyBorder="1" applyAlignment="1" applyProtection="1">
      <alignment horizontal="center"/>
    </xf>
    <xf numFmtId="0" fontId="11" fillId="10" borderId="2" xfId="0" applyFont="1" applyFill="1" applyBorder="1" applyAlignment="1" applyProtection="1">
      <alignment horizontal="center" vertical="center" wrapText="1"/>
    </xf>
    <xf numFmtId="0" fontId="11" fillId="10" borderId="4" xfId="0" applyFont="1" applyFill="1" applyBorder="1" applyAlignment="1" applyProtection="1">
      <alignment horizontal="center" vertical="center" wrapText="1"/>
    </xf>
    <xf numFmtId="0" fontId="0" fillId="2" borderId="2" xfId="0" quotePrefix="1" applyFill="1" applyBorder="1" applyAlignment="1" applyProtection="1">
      <alignment horizontal="center" vertical="center"/>
      <protection locked="0"/>
    </xf>
    <xf numFmtId="0" fontId="0" fillId="2" borderId="3" xfId="0" applyFill="1" applyBorder="1" applyAlignment="1" applyProtection="1">
      <alignment horizontal="center" vertical="center"/>
      <protection locked="0"/>
    </xf>
    <xf numFmtId="0" fontId="0" fillId="2" borderId="4" xfId="0" applyFill="1" applyBorder="1" applyAlignment="1" applyProtection="1">
      <alignment horizontal="center" vertical="center"/>
      <protection locked="0"/>
    </xf>
    <xf numFmtId="0" fontId="2" fillId="3" borderId="10" xfId="0" applyFont="1" applyFill="1" applyBorder="1" applyAlignment="1" applyProtection="1">
      <alignment horizontal="center" vertical="center"/>
    </xf>
    <xf numFmtId="0" fontId="2" fillId="3" borderId="11" xfId="0" applyFont="1" applyFill="1" applyBorder="1" applyAlignment="1" applyProtection="1">
      <alignment horizontal="center" vertical="center"/>
    </xf>
    <xf numFmtId="0" fontId="0" fillId="2" borderId="2" xfId="0" applyFill="1" applyBorder="1" applyAlignment="1" applyProtection="1">
      <alignment horizontal="center" vertical="center"/>
      <protection locked="0"/>
    </xf>
    <xf numFmtId="0" fontId="2" fillId="3" borderId="3" xfId="0" applyFont="1" applyFill="1" applyBorder="1" applyAlignment="1" applyProtection="1">
      <alignment horizontal="center" vertical="center"/>
    </xf>
    <xf numFmtId="0" fontId="5" fillId="3" borderId="2" xfId="0" applyFont="1" applyFill="1" applyBorder="1" applyAlignment="1" applyProtection="1">
      <alignment horizontal="center"/>
    </xf>
    <xf numFmtId="0" fontId="15" fillId="7" borderId="4" xfId="0" applyFont="1" applyFill="1" applyBorder="1" applyAlignment="1" applyProtection="1">
      <alignment horizontal="center"/>
    </xf>
    <xf numFmtId="0" fontId="2" fillId="3" borderId="5" xfId="0" applyFont="1" applyFill="1" applyBorder="1" applyAlignment="1" applyProtection="1">
      <alignment horizontal="center"/>
    </xf>
    <xf numFmtId="0" fontId="2" fillId="3" borderId="7" xfId="0" applyFont="1" applyFill="1" applyBorder="1" applyAlignment="1" applyProtection="1">
      <alignment horizontal="center"/>
    </xf>
    <xf numFmtId="0" fontId="2" fillId="3" borderId="12" xfId="0" applyFont="1" applyFill="1" applyBorder="1" applyAlignment="1" applyProtection="1">
      <alignment horizontal="center" vertical="center"/>
    </xf>
    <xf numFmtId="0" fontId="32" fillId="3" borderId="87" xfId="0" applyFont="1" applyFill="1" applyBorder="1" applyAlignment="1" applyProtection="1">
      <alignment horizontal="center" vertical="center"/>
    </xf>
    <xf numFmtId="0" fontId="32" fillId="3" borderId="88" xfId="0" applyFont="1" applyFill="1" applyBorder="1" applyAlignment="1" applyProtection="1">
      <alignment horizontal="center" vertical="center"/>
    </xf>
    <xf numFmtId="0" fontId="32" fillId="0" borderId="89" xfId="0" applyFont="1" applyFill="1" applyBorder="1" applyAlignment="1" applyProtection="1">
      <alignment horizontal="center" vertical="center"/>
    </xf>
    <xf numFmtId="0" fontId="32" fillId="3" borderId="90" xfId="0" applyFont="1" applyFill="1" applyBorder="1" applyAlignment="1" applyProtection="1">
      <alignment horizontal="center" vertical="center"/>
    </xf>
    <xf numFmtId="0" fontId="32" fillId="3" borderId="0" xfId="0" applyFont="1" applyFill="1" applyBorder="1" applyAlignment="1" applyProtection="1">
      <alignment horizontal="center" vertical="center"/>
    </xf>
    <xf numFmtId="0" fontId="32" fillId="3" borderId="91" xfId="0" applyFont="1" applyFill="1" applyBorder="1" applyAlignment="1" applyProtection="1">
      <alignment horizontal="center" vertical="center"/>
    </xf>
    <xf numFmtId="0" fontId="32" fillId="3" borderId="92" xfId="0" applyFont="1" applyFill="1" applyBorder="1" applyAlignment="1" applyProtection="1">
      <alignment horizontal="center" vertical="center"/>
    </xf>
    <xf numFmtId="0" fontId="32" fillId="3" borderId="93" xfId="0" applyFont="1" applyFill="1" applyBorder="1" applyAlignment="1" applyProtection="1">
      <alignment horizontal="center" vertical="center"/>
    </xf>
    <xf numFmtId="0" fontId="32" fillId="3" borderId="94" xfId="0" applyFont="1" applyFill="1" applyBorder="1" applyAlignment="1" applyProtection="1">
      <alignment horizontal="center" vertical="center"/>
    </xf>
    <xf numFmtId="0" fontId="6" fillId="3" borderId="2" xfId="0" applyFont="1" applyFill="1" applyBorder="1" applyAlignment="1" applyProtection="1">
      <alignment horizontal="center" vertical="center"/>
    </xf>
    <xf numFmtId="0" fontId="6" fillId="3" borderId="3" xfId="0" applyFont="1" applyFill="1" applyBorder="1" applyAlignment="1" applyProtection="1">
      <alignment horizontal="center" vertical="center"/>
    </xf>
    <xf numFmtId="0" fontId="6" fillId="3" borderId="4" xfId="0" applyFont="1" applyFill="1" applyBorder="1" applyAlignment="1" applyProtection="1">
      <alignment horizontal="center" vertical="center"/>
    </xf>
    <xf numFmtId="0" fontId="32" fillId="3" borderId="95" xfId="0" applyFont="1" applyFill="1" applyBorder="1" applyAlignment="1" applyProtection="1">
      <alignment horizontal="center" vertical="center"/>
    </xf>
    <xf numFmtId="0" fontId="32" fillId="3" borderId="96" xfId="0" applyFont="1" applyFill="1" applyBorder="1" applyAlignment="1" applyProtection="1">
      <alignment horizontal="center" vertical="center"/>
    </xf>
    <xf numFmtId="0" fontId="32" fillId="3" borderId="97" xfId="0" applyFont="1" applyFill="1" applyBorder="1" applyAlignment="1" applyProtection="1">
      <alignment horizontal="center" vertical="center"/>
    </xf>
    <xf numFmtId="0" fontId="2" fillId="3" borderId="2" xfId="0" applyFont="1" applyFill="1" applyBorder="1" applyAlignment="1" applyProtection="1">
      <alignment horizontal="center"/>
    </xf>
    <xf numFmtId="0" fontId="2" fillId="3" borderId="4" xfId="0" applyFont="1" applyFill="1" applyBorder="1" applyAlignment="1" applyProtection="1">
      <alignment horizontal="center"/>
    </xf>
    <xf numFmtId="0" fontId="2" fillId="3" borderId="10" xfId="0" applyFont="1" applyFill="1" applyBorder="1" applyAlignment="1" applyProtection="1">
      <alignment horizontal="center" vertical="center" wrapText="1"/>
    </xf>
    <xf numFmtId="0" fontId="2" fillId="3" borderId="12" xfId="0" applyFont="1" applyFill="1" applyBorder="1" applyAlignment="1" applyProtection="1">
      <alignment horizontal="center" vertical="center" wrapText="1"/>
    </xf>
    <xf numFmtId="0" fontId="11" fillId="10" borderId="43" xfId="0" applyFont="1" applyFill="1" applyBorder="1" applyAlignment="1" applyProtection="1">
      <alignment horizontal="center"/>
    </xf>
    <xf numFmtId="0" fontId="11" fillId="10" borderId="44" xfId="0" applyFont="1" applyFill="1" applyBorder="1" applyAlignment="1" applyProtection="1">
      <alignment horizontal="center"/>
    </xf>
    <xf numFmtId="0" fontId="5" fillId="3" borderId="2" xfId="0" applyFont="1" applyFill="1" applyBorder="1" applyAlignment="1" applyProtection="1">
      <alignment horizontal="center" vertical="center"/>
    </xf>
    <xf numFmtId="0" fontId="5" fillId="3" borderId="3" xfId="0" applyFont="1" applyFill="1" applyBorder="1" applyAlignment="1" applyProtection="1">
      <alignment horizontal="center" vertical="center"/>
    </xf>
    <xf numFmtId="0" fontId="5" fillId="3" borderId="4" xfId="0" applyFont="1" applyFill="1" applyBorder="1" applyAlignment="1" applyProtection="1">
      <alignment horizontal="center" vertical="center"/>
    </xf>
    <xf numFmtId="0" fontId="11" fillId="10" borderId="2" xfId="0" applyFont="1" applyFill="1" applyBorder="1" applyAlignment="1" applyProtection="1">
      <alignment horizontal="center"/>
    </xf>
    <xf numFmtId="0" fontId="11" fillId="10" borderId="4" xfId="0" applyFont="1" applyFill="1" applyBorder="1" applyAlignment="1" applyProtection="1">
      <alignment horizontal="center"/>
    </xf>
    <xf numFmtId="0" fontId="5" fillId="3" borderId="4" xfId="0" applyFont="1" applyFill="1" applyBorder="1" applyAlignment="1" applyProtection="1">
      <alignment horizontal="center"/>
    </xf>
    <xf numFmtId="0" fontId="2" fillId="3" borderId="3" xfId="0" applyFont="1" applyFill="1" applyBorder="1" applyAlignment="1" applyProtection="1">
      <alignment horizontal="center" vertical="center" wrapText="1"/>
    </xf>
    <xf numFmtId="0" fontId="2" fillId="3" borderId="4" xfId="0" applyFont="1" applyFill="1" applyBorder="1" applyAlignment="1" applyProtection="1">
      <alignment horizontal="center" vertical="center" wrapText="1"/>
    </xf>
    <xf numFmtId="0" fontId="32" fillId="3" borderId="20" xfId="0" applyFont="1" applyFill="1" applyBorder="1" applyAlignment="1">
      <alignment horizontal="center" vertical="center"/>
    </xf>
    <xf numFmtId="0" fontId="32" fillId="3" borderId="21" xfId="0" applyFont="1" applyFill="1" applyBorder="1" applyAlignment="1">
      <alignment horizontal="center" vertical="center"/>
    </xf>
    <xf numFmtId="0" fontId="5" fillId="3" borderId="3" xfId="0" applyFont="1" applyFill="1" applyBorder="1" applyAlignment="1" applyProtection="1">
      <alignment horizontal="center"/>
    </xf>
    <xf numFmtId="0" fontId="3" fillId="14" borderId="99" xfId="0" applyFont="1" applyFill="1" applyBorder="1" applyAlignment="1" applyProtection="1">
      <alignment horizontal="center" wrapText="1"/>
    </xf>
    <xf numFmtId="0" fontId="3" fillId="14" borderId="101" xfId="0" applyFont="1" applyFill="1" applyBorder="1" applyAlignment="1" applyProtection="1">
      <alignment horizontal="center" wrapText="1"/>
    </xf>
    <xf numFmtId="0" fontId="3" fillId="14" borderId="99" xfId="0" applyFont="1" applyFill="1" applyBorder="1" applyAlignment="1" applyProtection="1">
      <alignment horizontal="center" vertical="center" wrapText="1"/>
    </xf>
    <xf numFmtId="0" fontId="3" fillId="14" borderId="100" xfId="0" applyFont="1" applyFill="1" applyBorder="1" applyAlignment="1" applyProtection="1">
      <alignment horizontal="center" vertical="center"/>
    </xf>
    <xf numFmtId="0" fontId="3" fillId="14" borderId="101" xfId="0" applyFont="1" applyFill="1" applyBorder="1" applyAlignment="1" applyProtection="1">
      <alignment horizontal="center" vertical="center"/>
    </xf>
    <xf numFmtId="0" fontId="32" fillId="3" borderId="98" xfId="0" applyFont="1" applyFill="1" applyBorder="1" applyAlignment="1" applyProtection="1">
      <alignment horizontal="center"/>
    </xf>
    <xf numFmtId="0" fontId="32" fillId="3" borderId="6" xfId="0" applyFont="1" applyFill="1" applyBorder="1" applyAlignment="1" applyProtection="1">
      <alignment horizontal="center"/>
    </xf>
    <xf numFmtId="0" fontId="32" fillId="3" borderId="74" xfId="0" applyFont="1" applyFill="1" applyBorder="1" applyAlignment="1" applyProtection="1">
      <alignment horizontal="center"/>
    </xf>
    <xf numFmtId="0" fontId="2" fillId="3" borderId="5" xfId="0" applyFont="1" applyFill="1" applyBorder="1" applyAlignment="1" applyProtection="1">
      <alignment horizontal="center" vertical="center"/>
    </xf>
    <xf numFmtId="0" fontId="2" fillId="3" borderId="6" xfId="0" applyFont="1" applyFill="1" applyBorder="1" applyAlignment="1" applyProtection="1">
      <alignment horizontal="center" vertical="center"/>
    </xf>
    <xf numFmtId="0" fontId="3" fillId="14" borderId="19" xfId="0" applyFont="1" applyFill="1" applyBorder="1" applyAlignment="1" applyProtection="1">
      <alignment horizontal="center" vertical="top" wrapText="1"/>
    </xf>
    <xf numFmtId="0" fontId="37" fillId="14" borderId="98" xfId="0" applyFont="1" applyFill="1" applyBorder="1" applyAlignment="1" applyProtection="1">
      <alignment horizontal="center" vertical="center" wrapText="1"/>
    </xf>
    <xf numFmtId="0" fontId="36" fillId="14" borderId="6" xfId="0" applyFont="1" applyFill="1" applyBorder="1" applyAlignment="1" applyProtection="1">
      <alignment horizontal="center" vertical="center" wrapText="1"/>
    </xf>
    <xf numFmtId="0" fontId="36" fillId="14" borderId="74" xfId="0" applyFont="1" applyFill="1" applyBorder="1" applyAlignment="1" applyProtection="1">
      <alignment horizontal="center" vertical="center" wrapText="1"/>
    </xf>
    <xf numFmtId="0" fontId="36" fillId="14" borderId="19" xfId="0" applyFont="1" applyFill="1" applyBorder="1" applyAlignment="1" applyProtection="1">
      <alignment horizontal="center" vertical="center" wrapText="1"/>
    </xf>
    <xf numFmtId="0" fontId="36" fillId="14" borderId="0" xfId="0" applyFont="1" applyFill="1" applyBorder="1" applyAlignment="1" applyProtection="1">
      <alignment horizontal="center" vertical="center" wrapText="1"/>
    </xf>
    <xf numFmtId="0" fontId="36" fillId="14" borderId="46" xfId="0" applyFont="1" applyFill="1" applyBorder="1" applyAlignment="1" applyProtection="1">
      <alignment horizontal="center" vertical="center" wrapText="1"/>
    </xf>
    <xf numFmtId="0" fontId="0" fillId="14" borderId="77" xfId="0" applyFill="1" applyBorder="1" applyAlignment="1" applyProtection="1">
      <alignment horizontal="center" vertical="top" wrapText="1"/>
    </xf>
    <xf numFmtId="0" fontId="32" fillId="3" borderId="102" xfId="0" applyFont="1" applyFill="1" applyBorder="1" applyAlignment="1" applyProtection="1">
      <alignment horizontal="center" vertical="center"/>
    </xf>
    <xf numFmtId="0" fontId="32" fillId="3" borderId="103" xfId="0" applyFont="1" applyFill="1" applyBorder="1" applyAlignment="1" applyProtection="1">
      <alignment horizontal="center" vertical="center"/>
    </xf>
    <xf numFmtId="0" fontId="32" fillId="3" borderId="104" xfId="0" applyFont="1" applyFill="1" applyBorder="1" applyAlignment="1" applyProtection="1">
      <alignment horizontal="center" vertical="center"/>
    </xf>
    <xf numFmtId="0" fontId="3" fillId="14" borderId="98" xfId="0" applyFont="1" applyFill="1" applyBorder="1" applyAlignment="1" applyProtection="1">
      <alignment horizontal="center" vertical="top" wrapText="1"/>
    </xf>
    <xf numFmtId="0" fontId="3" fillId="14" borderId="82" xfId="0" applyFont="1" applyFill="1" applyBorder="1" applyAlignment="1" applyProtection="1">
      <alignment horizontal="center" vertical="top" wrapText="1"/>
    </xf>
    <xf numFmtId="0" fontId="4" fillId="3" borderId="13" xfId="0" applyFont="1" applyFill="1" applyBorder="1" applyAlignment="1" applyProtection="1">
      <alignment horizontal="center" vertical="center" wrapText="1"/>
    </xf>
    <xf numFmtId="0" fontId="4" fillId="3" borderId="15" xfId="0" applyFont="1" applyFill="1" applyBorder="1" applyAlignment="1" applyProtection="1">
      <alignment horizontal="center" vertical="center" wrapText="1"/>
    </xf>
    <xf numFmtId="0" fontId="0" fillId="13" borderId="13" xfId="0" applyFont="1" applyFill="1" applyBorder="1" applyAlignment="1" applyProtection="1">
      <alignment horizontal="center" vertical="center"/>
      <protection locked="0"/>
    </xf>
    <xf numFmtId="0" fontId="0" fillId="13" borderId="15" xfId="0" applyFont="1" applyFill="1" applyBorder="1" applyAlignment="1" applyProtection="1">
      <alignment horizontal="center" vertical="center"/>
      <protection locked="0"/>
    </xf>
    <xf numFmtId="0" fontId="6" fillId="3" borderId="0" xfId="0" applyFont="1" applyFill="1" applyAlignment="1" applyProtection="1">
      <alignment horizontal="center" vertical="center"/>
    </xf>
    <xf numFmtId="0" fontId="5" fillId="3" borderId="8" xfId="0" applyFont="1" applyFill="1" applyBorder="1" applyAlignment="1" applyProtection="1">
      <alignment horizontal="center"/>
    </xf>
    <xf numFmtId="0" fontId="15" fillId="7" borderId="9" xfId="0" applyFont="1" applyFill="1" applyBorder="1" applyAlignment="1" applyProtection="1">
      <alignment horizontal="center"/>
    </xf>
    <xf numFmtId="0" fontId="5" fillId="3" borderId="5" xfId="0" applyFont="1" applyFill="1" applyBorder="1" applyAlignment="1" applyProtection="1">
      <alignment horizontal="center"/>
    </xf>
    <xf numFmtId="0" fontId="5" fillId="3" borderId="7" xfId="0" applyFont="1" applyFill="1" applyBorder="1" applyAlignment="1" applyProtection="1">
      <alignment horizontal="center"/>
    </xf>
    <xf numFmtId="0" fontId="15" fillId="10" borderId="60" xfId="0" applyFont="1" applyFill="1" applyBorder="1" applyAlignment="1" applyProtection="1">
      <alignment horizontal="center"/>
    </xf>
    <xf numFmtId="0" fontId="15" fillId="10" borderId="61" xfId="0" applyFont="1" applyFill="1" applyBorder="1" applyAlignment="1" applyProtection="1">
      <alignment horizontal="center"/>
    </xf>
  </cellXfs>
  <cellStyles count="4">
    <cellStyle name="Comma" xfId="2" builtinId="3"/>
    <cellStyle name="Hyperlink" xfId="3" builtinId="8"/>
    <cellStyle name="Normal" xfId="0" builtinId="0"/>
    <cellStyle name="Per cent" xfId="1" builtinId="5"/>
  </cellStyles>
  <dxfs count="4">
    <dxf>
      <font>
        <b/>
        <i val="0"/>
        <color rgb="FFFF0000"/>
      </font>
      <fill>
        <patternFill>
          <bgColor theme="7" tint="0.79998168889431442"/>
        </patternFill>
      </fill>
    </dxf>
    <dxf>
      <font>
        <b/>
        <i val="0"/>
        <color rgb="FF00B050"/>
      </font>
      <fill>
        <patternFill>
          <bgColor theme="7" tint="0.79998168889431442"/>
        </patternFill>
      </fill>
    </dxf>
    <dxf>
      <font>
        <b/>
        <i val="0"/>
        <color rgb="FFFF0000"/>
      </font>
      <fill>
        <patternFill>
          <bgColor theme="7" tint="0.79998168889431442"/>
        </patternFill>
      </fill>
    </dxf>
    <dxf>
      <font>
        <b/>
        <i val="0"/>
        <color rgb="FF00B050"/>
      </font>
      <fill>
        <patternFill>
          <bgColor theme="7"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6.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7.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Delta </a:t>
            </a:r>
            <a:r>
              <a:rPr lang="el-GR"/>
              <a:t>δ</a:t>
            </a:r>
            <a:endParaRPr lang="en-GB"/>
          </a:p>
        </c:rich>
      </c:tx>
      <c:overlay val="0"/>
      <c:spPr>
        <a:noFill/>
        <a:ln>
          <a:noFill/>
        </a:ln>
        <a:effectLst/>
      </c:spPr>
    </c:title>
    <c:autoTitleDeleted val="0"/>
    <c:plotArea>
      <c:layout/>
      <c:scatterChart>
        <c:scatterStyle val="smoothMarker"/>
        <c:varyColors val="0"/>
        <c:ser>
          <c:idx val="1"/>
          <c:order val="0"/>
          <c:xVal>
            <c:numRef>
              <c:f>'Option Strategy'!$U$3:$DQ$3</c:f>
              <c:numCache>
                <c:formatCode>General</c:formatCode>
                <c:ptCount val="101"/>
                <c:pt idx="0">
                  <c:v>60</c:v>
                </c:pt>
                <c:pt idx="1">
                  <c:v>60.8</c:v>
                </c:pt>
                <c:pt idx="2">
                  <c:v>61.6</c:v>
                </c:pt>
                <c:pt idx="3">
                  <c:v>62.4</c:v>
                </c:pt>
                <c:pt idx="4">
                  <c:v>63.2</c:v>
                </c:pt>
                <c:pt idx="5">
                  <c:v>64</c:v>
                </c:pt>
                <c:pt idx="6">
                  <c:v>64.8</c:v>
                </c:pt>
                <c:pt idx="7">
                  <c:v>65.599999999999994</c:v>
                </c:pt>
                <c:pt idx="8">
                  <c:v>66.400000000000006</c:v>
                </c:pt>
                <c:pt idx="9">
                  <c:v>67.2</c:v>
                </c:pt>
                <c:pt idx="10">
                  <c:v>68</c:v>
                </c:pt>
                <c:pt idx="11">
                  <c:v>68.8</c:v>
                </c:pt>
                <c:pt idx="12">
                  <c:v>69.599999999999994</c:v>
                </c:pt>
                <c:pt idx="13">
                  <c:v>70.400000000000006</c:v>
                </c:pt>
                <c:pt idx="14">
                  <c:v>71.2</c:v>
                </c:pt>
                <c:pt idx="15">
                  <c:v>72</c:v>
                </c:pt>
                <c:pt idx="16">
                  <c:v>72.8</c:v>
                </c:pt>
                <c:pt idx="17">
                  <c:v>73.599999999999994</c:v>
                </c:pt>
                <c:pt idx="18">
                  <c:v>74.400000000000006</c:v>
                </c:pt>
                <c:pt idx="19">
                  <c:v>75.2</c:v>
                </c:pt>
                <c:pt idx="20">
                  <c:v>76</c:v>
                </c:pt>
                <c:pt idx="21">
                  <c:v>76.8</c:v>
                </c:pt>
                <c:pt idx="22">
                  <c:v>77.599999999999994</c:v>
                </c:pt>
                <c:pt idx="23">
                  <c:v>78.400000000000006</c:v>
                </c:pt>
                <c:pt idx="24">
                  <c:v>79.2</c:v>
                </c:pt>
                <c:pt idx="25">
                  <c:v>80</c:v>
                </c:pt>
                <c:pt idx="26">
                  <c:v>80.8</c:v>
                </c:pt>
                <c:pt idx="27">
                  <c:v>81.599999999999994</c:v>
                </c:pt>
                <c:pt idx="28">
                  <c:v>82.4</c:v>
                </c:pt>
                <c:pt idx="29">
                  <c:v>83.2</c:v>
                </c:pt>
                <c:pt idx="30">
                  <c:v>84</c:v>
                </c:pt>
                <c:pt idx="31">
                  <c:v>84.8</c:v>
                </c:pt>
                <c:pt idx="32">
                  <c:v>85.6</c:v>
                </c:pt>
                <c:pt idx="33">
                  <c:v>86.4</c:v>
                </c:pt>
                <c:pt idx="34">
                  <c:v>87.2</c:v>
                </c:pt>
                <c:pt idx="35">
                  <c:v>88</c:v>
                </c:pt>
                <c:pt idx="36">
                  <c:v>88.8</c:v>
                </c:pt>
                <c:pt idx="37">
                  <c:v>89.6</c:v>
                </c:pt>
                <c:pt idx="38">
                  <c:v>90.4</c:v>
                </c:pt>
                <c:pt idx="39">
                  <c:v>91.2</c:v>
                </c:pt>
                <c:pt idx="40">
                  <c:v>92</c:v>
                </c:pt>
                <c:pt idx="41">
                  <c:v>92.8</c:v>
                </c:pt>
                <c:pt idx="42">
                  <c:v>93.6</c:v>
                </c:pt>
                <c:pt idx="43">
                  <c:v>94.4</c:v>
                </c:pt>
                <c:pt idx="44">
                  <c:v>95.2</c:v>
                </c:pt>
                <c:pt idx="45">
                  <c:v>96</c:v>
                </c:pt>
                <c:pt idx="46">
                  <c:v>96.8</c:v>
                </c:pt>
                <c:pt idx="47">
                  <c:v>97.6</c:v>
                </c:pt>
                <c:pt idx="48">
                  <c:v>98.4</c:v>
                </c:pt>
                <c:pt idx="49">
                  <c:v>99.2</c:v>
                </c:pt>
                <c:pt idx="50">
                  <c:v>100</c:v>
                </c:pt>
                <c:pt idx="51">
                  <c:v>100.8</c:v>
                </c:pt>
                <c:pt idx="52">
                  <c:v>101.6</c:v>
                </c:pt>
                <c:pt idx="53">
                  <c:v>102.4</c:v>
                </c:pt>
                <c:pt idx="54">
                  <c:v>103.2</c:v>
                </c:pt>
                <c:pt idx="55">
                  <c:v>104</c:v>
                </c:pt>
                <c:pt idx="56">
                  <c:v>104.8</c:v>
                </c:pt>
                <c:pt idx="57">
                  <c:v>105.6</c:v>
                </c:pt>
                <c:pt idx="58">
                  <c:v>106.4</c:v>
                </c:pt>
                <c:pt idx="59">
                  <c:v>107.2</c:v>
                </c:pt>
                <c:pt idx="60">
                  <c:v>108</c:v>
                </c:pt>
                <c:pt idx="61">
                  <c:v>108.8</c:v>
                </c:pt>
                <c:pt idx="62">
                  <c:v>109.6</c:v>
                </c:pt>
                <c:pt idx="63">
                  <c:v>110.4</c:v>
                </c:pt>
                <c:pt idx="64">
                  <c:v>111.2</c:v>
                </c:pt>
                <c:pt idx="65">
                  <c:v>112</c:v>
                </c:pt>
                <c:pt idx="66">
                  <c:v>112.8</c:v>
                </c:pt>
                <c:pt idx="67">
                  <c:v>113.6</c:v>
                </c:pt>
                <c:pt idx="68">
                  <c:v>114.4</c:v>
                </c:pt>
                <c:pt idx="69">
                  <c:v>115.2</c:v>
                </c:pt>
                <c:pt idx="70">
                  <c:v>116</c:v>
                </c:pt>
                <c:pt idx="71">
                  <c:v>116.8</c:v>
                </c:pt>
                <c:pt idx="72">
                  <c:v>117.6</c:v>
                </c:pt>
                <c:pt idx="73">
                  <c:v>118.4</c:v>
                </c:pt>
                <c:pt idx="74">
                  <c:v>119.2</c:v>
                </c:pt>
                <c:pt idx="75">
                  <c:v>120</c:v>
                </c:pt>
                <c:pt idx="76">
                  <c:v>120.8</c:v>
                </c:pt>
                <c:pt idx="77">
                  <c:v>121.6</c:v>
                </c:pt>
                <c:pt idx="78">
                  <c:v>122.4</c:v>
                </c:pt>
                <c:pt idx="79">
                  <c:v>123.2</c:v>
                </c:pt>
                <c:pt idx="80">
                  <c:v>124</c:v>
                </c:pt>
                <c:pt idx="81">
                  <c:v>124.8</c:v>
                </c:pt>
                <c:pt idx="82">
                  <c:v>125.6</c:v>
                </c:pt>
                <c:pt idx="83">
                  <c:v>126.4</c:v>
                </c:pt>
                <c:pt idx="84">
                  <c:v>127.2</c:v>
                </c:pt>
                <c:pt idx="85">
                  <c:v>128</c:v>
                </c:pt>
                <c:pt idx="86">
                  <c:v>128.80000000000001</c:v>
                </c:pt>
                <c:pt idx="87">
                  <c:v>129.6</c:v>
                </c:pt>
                <c:pt idx="88">
                  <c:v>130.4</c:v>
                </c:pt>
                <c:pt idx="89">
                  <c:v>131.19999999999999</c:v>
                </c:pt>
                <c:pt idx="90">
                  <c:v>132</c:v>
                </c:pt>
                <c:pt idx="91">
                  <c:v>132.80000000000001</c:v>
                </c:pt>
                <c:pt idx="92">
                  <c:v>133.6</c:v>
                </c:pt>
                <c:pt idx="93">
                  <c:v>134.4</c:v>
                </c:pt>
                <c:pt idx="94">
                  <c:v>135.19999999999999</c:v>
                </c:pt>
                <c:pt idx="95">
                  <c:v>136</c:v>
                </c:pt>
                <c:pt idx="96">
                  <c:v>136.80000000000001</c:v>
                </c:pt>
                <c:pt idx="97">
                  <c:v>137.6</c:v>
                </c:pt>
                <c:pt idx="98">
                  <c:v>138.4</c:v>
                </c:pt>
                <c:pt idx="99">
                  <c:v>139.19999999999999</c:v>
                </c:pt>
                <c:pt idx="100">
                  <c:v>140</c:v>
                </c:pt>
              </c:numCache>
            </c:numRef>
          </c:xVal>
          <c:yVal>
            <c:numRef>
              <c:f>'Option Strategy'!$U$5:$DQ$5</c:f>
              <c:numCache>
                <c:formatCode>General</c:formatCode>
                <c:ptCount val="101"/>
                <c:pt idx="0">
                  <c:v>0.99999966490846348</c:v>
                </c:pt>
                <c:pt idx="1">
                  <c:v>0.99999933908015481</c:v>
                </c:pt>
                <c:pt idx="2">
                  <c:v>0.99999872952682201</c:v>
                </c:pt>
                <c:pt idx="3">
                  <c:v>0.99999761764047368</c:v>
                </c:pt>
                <c:pt idx="4">
                  <c:v>0.99999563835019623</c:v>
                </c:pt>
                <c:pt idx="5">
                  <c:v>0.99999219709317066</c:v>
                </c:pt>
                <c:pt idx="6">
                  <c:v>0.99998634884505355</c:v>
                </c:pt>
                <c:pt idx="7">
                  <c:v>0.99997662667270293</c:v>
                </c:pt>
                <c:pt idx="8">
                  <c:v>0.99996080532328135</c:v>
                </c:pt>
                <c:pt idx="9">
                  <c:v>0.99993558404925087</c:v>
                </c:pt>
                <c:pt idx="10">
                  <c:v>0.99989617264728092</c:v>
                </c:pt>
                <c:pt idx="11">
                  <c:v>0.99983576606398472</c:v>
                </c:pt>
                <c:pt idx="12">
                  <c:v>0.99974489638536368</c:v>
                </c:pt>
                <c:pt idx="13">
                  <c:v>0.99961065699265517</c:v>
                </c:pt>
                <c:pt idx="14">
                  <c:v>0.99941580239724337</c:v>
                </c:pt>
                <c:pt idx="15">
                  <c:v>0.99913773882045764</c:v>
                </c:pt>
                <c:pt idx="16">
                  <c:v>0.99874743480743589</c:v>
                </c:pt>
                <c:pt idx="17">
                  <c:v>0.9982082977557446</c:v>
                </c:pt>
                <c:pt idx="18">
                  <c:v>0.99747508090334802</c:v>
                </c:pt>
                <c:pt idx="19">
                  <c:v>0.99649290600897833</c:v>
                </c:pt>
                <c:pt idx="20">
                  <c:v>0.99519651014137811</c:v>
                </c:pt>
                <c:pt idx="21">
                  <c:v>0.99350985182322582</c:v>
                </c:pt>
                <c:pt idx="22">
                  <c:v>0.99134624391238602</c:v>
                </c:pt>
                <c:pt idx="23">
                  <c:v>0.98860921943971891</c:v>
                </c:pt>
                <c:pt idx="24">
                  <c:v>0.98519438166820972</c:v>
                </c:pt>
                <c:pt idx="25">
                  <c:v>0.9809925360824181</c:v>
                </c:pt>
                <c:pt idx="26">
                  <c:v>0.97589443793572361</c:v>
                </c:pt>
                <c:pt idx="27">
                  <c:v>0.96979749324435116</c:v>
                </c:pt>
                <c:pt idx="28">
                  <c:v>0.96261469357888141</c:v>
                </c:pt>
                <c:pt idx="29">
                  <c:v>0.95428591068544444</c:v>
                </c:pt>
                <c:pt idx="30">
                  <c:v>0.94479139523168143</c:v>
                </c:pt>
                <c:pt idx="31">
                  <c:v>0.93416690214269704</c:v>
                </c:pt>
                <c:pt idx="32">
                  <c:v>0.92251932359117683</c:v>
                </c:pt>
                <c:pt idx="33">
                  <c:v>0.91004111524542808</c:v>
                </c:pt>
                <c:pt idx="34">
                  <c:v>0.89702126458783005</c:v>
                </c:pt>
                <c:pt idx="35">
                  <c:v>0.88385021951110732</c:v>
                </c:pt>
                <c:pt idx="36">
                  <c:v>0.87101622468636486</c:v>
                </c:pt>
                <c:pt idx="37">
                  <c:v>0.85909102144187288</c:v>
                </c:pt>
                <c:pt idx="38">
                  <c:v>0.84870389509265465</c:v>
                </c:pt>
                <c:pt idx="39">
                  <c:v>0.84050453196672792</c:v>
                </c:pt>
                <c:pt idx="40">
                  <c:v>0.83511688685782137</c:v>
                </c:pt>
                <c:pt idx="41">
                  <c:v>0.83308797245867583</c:v>
                </c:pt>
                <c:pt idx="42">
                  <c:v>0.8348368324141533</c:v>
                </c:pt>
                <c:pt idx="43">
                  <c:v>0.84060964320778253</c:v>
                </c:pt>
                <c:pt idx="44">
                  <c:v>0.85044670309402215</c:v>
                </c:pt>
                <c:pt idx="45">
                  <c:v>0.86416596230228571</c:v>
                </c:pt>
                <c:pt idx="46">
                  <c:v>0.88136586020723495</c:v>
                </c:pt>
                <c:pt idx="47">
                  <c:v>0.9014478526985904</c:v>
                </c:pt>
                <c:pt idx="48">
                  <c:v>0.92365652725963587</c:v>
                </c:pt>
                <c:pt idx="49">
                  <c:v>0.94713302402718313</c:v>
                </c:pt>
                <c:pt idx="50">
                  <c:v>0.97097595372948875</c:v>
                </c:pt>
                <c:pt idx="51">
                  <c:v>0.9943033430273569</c:v>
                </c:pt>
                <c:pt idx="52">
                  <c:v>1.0163093954367861</c:v>
                </c:pt>
                <c:pt idx="53">
                  <c:v>1.0363109218264612</c:v>
                </c:pt>
                <c:pt idx="54">
                  <c:v>1.0537799336996754</c:v>
                </c:pt>
                <c:pt idx="55">
                  <c:v>1.0683608024353992</c:v>
                </c:pt>
                <c:pt idx="56">
                  <c:v>1.0798722607824645</c:v>
                </c:pt>
                <c:pt idx="57">
                  <c:v>1.0882961013386652</c:v>
                </c:pt>
                <c:pt idx="58">
                  <c:v>1.0937555388806923</c:v>
                </c:pt>
                <c:pt idx="59">
                  <c:v>1.0964867778573963</c:v>
                </c:pt>
                <c:pt idx="60">
                  <c:v>1.0968073850543074</c:v>
                </c:pt>
                <c:pt idx="61">
                  <c:v>1.0950847034060973</c:v>
                </c:pt>
                <c:pt idx="62">
                  <c:v>1.0917068903355451</c:v>
                </c:pt>
                <c:pt idx="63">
                  <c:v>1.0870583678728234</c:v>
                </c:pt>
                <c:pt idx="64">
                  <c:v>1.0815006631976649</c:v>
                </c:pt>
                <c:pt idx="65">
                  <c:v>1.0753588978539872</c:v>
                </c:pt>
                <c:pt idx="66">
                  <c:v>1.0689136149628882</c:v>
                </c:pt>
                <c:pt idx="67">
                  <c:v>1.0623972429302724</c:v>
                </c:pt>
                <c:pt idx="68">
                  <c:v>1.0559942777846851</c:v>
                </c:pt>
                <c:pt idx="69">
                  <c:v>1.0498441997309427</c:v>
                </c:pt>
                <c:pt idx="70">
                  <c:v>1.0440461867335336</c:v>
                </c:pt>
                <c:pt idx="71">
                  <c:v>1.0386648099241333</c:v>
                </c:pt>
                <c:pt idx="72">
                  <c:v>1.0337360564985199</c:v>
                </c:pt>
                <c:pt idx="73">
                  <c:v>1.0292731965248829</c:v>
                </c:pt>
                <c:pt idx="74">
                  <c:v>1.0252721700595764</c:v>
                </c:pt>
                <c:pt idx="75">
                  <c:v>1.0217163076294808</c:v>
                </c:pt>
                <c:pt idx="76">
                  <c:v>1.0185803048527267</c:v>
                </c:pt>
                <c:pt idx="77">
                  <c:v>1.0158334502398492</c:v>
                </c:pt>
                <c:pt idx="78">
                  <c:v>1.0134421569064314</c:v>
                </c:pt>
                <c:pt idx="79">
                  <c:v>1.0113718786786903</c:v>
                </c:pt>
                <c:pt idx="80">
                  <c:v>1.0095885041015622</c:v>
                </c:pt>
                <c:pt idx="81">
                  <c:v>1.0080593231367219</c:v>
                </c:pt>
                <c:pt idx="82">
                  <c:v>1.0067536551256953</c:v>
                </c:pt>
                <c:pt idx="83">
                  <c:v>1.0056432162442572</c:v>
                </c:pt>
                <c:pt idx="84">
                  <c:v>1.0047022926295965</c:v>
                </c:pt>
                <c:pt idx="85">
                  <c:v>1.0039077732553037</c:v>
                </c:pt>
                <c:pt idx="86">
                  <c:v>1.0032390854454598</c:v>
                </c:pt>
                <c:pt idx="87">
                  <c:v>1.0026780661593349</c:v>
                </c:pt>
                <c:pt idx="88">
                  <c:v>1.0022087940119655</c:v>
                </c:pt>
                <c:pt idx="89">
                  <c:v>1.0018174003845828</c:v>
                </c:pt>
                <c:pt idx="90">
                  <c:v>1.0014918727685274</c:v>
                </c:pt>
                <c:pt idx="91">
                  <c:v>1.0012218594724693</c:v>
                </c:pt>
                <c:pt idx="92">
                  <c:v>1.0009984817916906</c:v>
                </c:pt>
                <c:pt idx="93">
                  <c:v>1.0008141574906997</c:v>
                </c:pt>
                <c:pt idx="94">
                  <c:v>1.0006624378133135</c:v>
                </c:pt>
                <c:pt idx="95">
                  <c:v>1.0005378590639311</c:v>
                </c:pt>
                <c:pt idx="96">
                  <c:v>1.0004358089849146</c:v>
                </c:pt>
                <c:pt idx="97">
                  <c:v>1.0003524075978354</c:v>
                </c:pt>
                <c:pt idx="98">
                  <c:v>1.000284401811812</c:v>
                </c:pt>
                <c:pt idx="99">
                  <c:v>1.0002290728780934</c:v>
                </c:pt>
                <c:pt idx="100">
                  <c:v>1.0001841556472515</c:v>
                </c:pt>
              </c:numCache>
            </c:numRef>
          </c:yVal>
          <c:smooth val="1"/>
          <c:extLst>
            <c:ext xmlns:c16="http://schemas.microsoft.com/office/drawing/2014/chart" uri="{C3380CC4-5D6E-409C-BE32-E72D297353CC}">
              <c16:uniqueId val="{0000000B-D30D-474B-9D6D-67054BE37971}"/>
            </c:ext>
          </c:extLst>
        </c:ser>
        <c:dLbls>
          <c:showLegendKey val="0"/>
          <c:showVal val="0"/>
          <c:showCatName val="0"/>
          <c:showSerName val="0"/>
          <c:showPercent val="0"/>
          <c:showBubbleSize val="0"/>
        </c:dLbls>
        <c:axId val="1075388607"/>
        <c:axId val="1075390239"/>
      </c:scatterChart>
      <c:scatterChart>
        <c:scatterStyle val="smoothMarker"/>
        <c:varyColors val="0"/>
        <c:ser>
          <c:idx val="0"/>
          <c:order val="1"/>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'Option Strategy'!$U$3:$DQ$3</c:f>
              <c:numCache>
                <c:formatCode>General</c:formatCode>
                <c:ptCount val="101"/>
                <c:pt idx="0">
                  <c:v>60</c:v>
                </c:pt>
                <c:pt idx="1">
                  <c:v>60.8</c:v>
                </c:pt>
                <c:pt idx="2">
                  <c:v>61.6</c:v>
                </c:pt>
                <c:pt idx="3">
                  <c:v>62.4</c:v>
                </c:pt>
                <c:pt idx="4">
                  <c:v>63.2</c:v>
                </c:pt>
                <c:pt idx="5">
                  <c:v>64</c:v>
                </c:pt>
                <c:pt idx="6">
                  <c:v>64.8</c:v>
                </c:pt>
                <c:pt idx="7">
                  <c:v>65.599999999999994</c:v>
                </c:pt>
                <c:pt idx="8">
                  <c:v>66.400000000000006</c:v>
                </c:pt>
                <c:pt idx="9">
                  <c:v>67.2</c:v>
                </c:pt>
                <c:pt idx="10">
                  <c:v>68</c:v>
                </c:pt>
                <c:pt idx="11">
                  <c:v>68.8</c:v>
                </c:pt>
                <c:pt idx="12">
                  <c:v>69.599999999999994</c:v>
                </c:pt>
                <c:pt idx="13">
                  <c:v>70.400000000000006</c:v>
                </c:pt>
                <c:pt idx="14">
                  <c:v>71.2</c:v>
                </c:pt>
                <c:pt idx="15">
                  <c:v>72</c:v>
                </c:pt>
                <c:pt idx="16">
                  <c:v>72.8</c:v>
                </c:pt>
                <c:pt idx="17">
                  <c:v>73.599999999999994</c:v>
                </c:pt>
                <c:pt idx="18">
                  <c:v>74.400000000000006</c:v>
                </c:pt>
                <c:pt idx="19">
                  <c:v>75.2</c:v>
                </c:pt>
                <c:pt idx="20">
                  <c:v>76</c:v>
                </c:pt>
                <c:pt idx="21">
                  <c:v>76.8</c:v>
                </c:pt>
                <c:pt idx="22">
                  <c:v>77.599999999999994</c:v>
                </c:pt>
                <c:pt idx="23">
                  <c:v>78.400000000000006</c:v>
                </c:pt>
                <c:pt idx="24">
                  <c:v>79.2</c:v>
                </c:pt>
                <c:pt idx="25">
                  <c:v>80</c:v>
                </c:pt>
                <c:pt idx="26">
                  <c:v>80.8</c:v>
                </c:pt>
                <c:pt idx="27">
                  <c:v>81.599999999999994</c:v>
                </c:pt>
                <c:pt idx="28">
                  <c:v>82.4</c:v>
                </c:pt>
                <c:pt idx="29">
                  <c:v>83.2</c:v>
                </c:pt>
                <c:pt idx="30">
                  <c:v>84</c:v>
                </c:pt>
                <c:pt idx="31">
                  <c:v>84.8</c:v>
                </c:pt>
                <c:pt idx="32">
                  <c:v>85.6</c:v>
                </c:pt>
                <c:pt idx="33">
                  <c:v>86.4</c:v>
                </c:pt>
                <c:pt idx="34">
                  <c:v>87.2</c:v>
                </c:pt>
                <c:pt idx="35">
                  <c:v>88</c:v>
                </c:pt>
                <c:pt idx="36">
                  <c:v>88.8</c:v>
                </c:pt>
                <c:pt idx="37">
                  <c:v>89.6</c:v>
                </c:pt>
                <c:pt idx="38">
                  <c:v>90.4</c:v>
                </c:pt>
                <c:pt idx="39">
                  <c:v>91.2</c:v>
                </c:pt>
                <c:pt idx="40">
                  <c:v>92</c:v>
                </c:pt>
                <c:pt idx="41">
                  <c:v>92.8</c:v>
                </c:pt>
                <c:pt idx="42">
                  <c:v>93.6</c:v>
                </c:pt>
                <c:pt idx="43">
                  <c:v>94.4</c:v>
                </c:pt>
                <c:pt idx="44">
                  <c:v>95.2</c:v>
                </c:pt>
                <c:pt idx="45">
                  <c:v>96</c:v>
                </c:pt>
                <c:pt idx="46">
                  <c:v>96.8</c:v>
                </c:pt>
                <c:pt idx="47">
                  <c:v>97.6</c:v>
                </c:pt>
                <c:pt idx="48">
                  <c:v>98.4</c:v>
                </c:pt>
                <c:pt idx="49">
                  <c:v>99.2</c:v>
                </c:pt>
                <c:pt idx="50">
                  <c:v>100</c:v>
                </c:pt>
                <c:pt idx="51">
                  <c:v>100.8</c:v>
                </c:pt>
                <c:pt idx="52">
                  <c:v>101.6</c:v>
                </c:pt>
                <c:pt idx="53">
                  <c:v>102.4</c:v>
                </c:pt>
                <c:pt idx="54">
                  <c:v>103.2</c:v>
                </c:pt>
                <c:pt idx="55">
                  <c:v>104</c:v>
                </c:pt>
                <c:pt idx="56">
                  <c:v>104.8</c:v>
                </c:pt>
                <c:pt idx="57">
                  <c:v>105.6</c:v>
                </c:pt>
                <c:pt idx="58">
                  <c:v>106.4</c:v>
                </c:pt>
                <c:pt idx="59">
                  <c:v>107.2</c:v>
                </c:pt>
                <c:pt idx="60">
                  <c:v>108</c:v>
                </c:pt>
                <c:pt idx="61">
                  <c:v>108.8</c:v>
                </c:pt>
                <c:pt idx="62">
                  <c:v>109.6</c:v>
                </c:pt>
                <c:pt idx="63">
                  <c:v>110.4</c:v>
                </c:pt>
                <c:pt idx="64">
                  <c:v>111.2</c:v>
                </c:pt>
                <c:pt idx="65">
                  <c:v>112</c:v>
                </c:pt>
                <c:pt idx="66">
                  <c:v>112.8</c:v>
                </c:pt>
                <c:pt idx="67">
                  <c:v>113.6</c:v>
                </c:pt>
                <c:pt idx="68">
                  <c:v>114.4</c:v>
                </c:pt>
                <c:pt idx="69">
                  <c:v>115.2</c:v>
                </c:pt>
                <c:pt idx="70">
                  <c:v>116</c:v>
                </c:pt>
                <c:pt idx="71">
                  <c:v>116.8</c:v>
                </c:pt>
                <c:pt idx="72">
                  <c:v>117.6</c:v>
                </c:pt>
                <c:pt idx="73">
                  <c:v>118.4</c:v>
                </c:pt>
                <c:pt idx="74">
                  <c:v>119.2</c:v>
                </c:pt>
                <c:pt idx="75">
                  <c:v>120</c:v>
                </c:pt>
                <c:pt idx="76">
                  <c:v>120.8</c:v>
                </c:pt>
                <c:pt idx="77">
                  <c:v>121.6</c:v>
                </c:pt>
                <c:pt idx="78">
                  <c:v>122.4</c:v>
                </c:pt>
                <c:pt idx="79">
                  <c:v>123.2</c:v>
                </c:pt>
                <c:pt idx="80">
                  <c:v>124</c:v>
                </c:pt>
                <c:pt idx="81">
                  <c:v>124.8</c:v>
                </c:pt>
                <c:pt idx="82">
                  <c:v>125.6</c:v>
                </c:pt>
                <c:pt idx="83">
                  <c:v>126.4</c:v>
                </c:pt>
                <c:pt idx="84">
                  <c:v>127.2</c:v>
                </c:pt>
                <c:pt idx="85">
                  <c:v>128</c:v>
                </c:pt>
                <c:pt idx="86">
                  <c:v>128.80000000000001</c:v>
                </c:pt>
                <c:pt idx="87">
                  <c:v>129.6</c:v>
                </c:pt>
                <c:pt idx="88">
                  <c:v>130.4</c:v>
                </c:pt>
                <c:pt idx="89">
                  <c:v>131.19999999999999</c:v>
                </c:pt>
                <c:pt idx="90">
                  <c:v>132</c:v>
                </c:pt>
                <c:pt idx="91">
                  <c:v>132.80000000000001</c:v>
                </c:pt>
                <c:pt idx="92">
                  <c:v>133.6</c:v>
                </c:pt>
                <c:pt idx="93">
                  <c:v>134.4</c:v>
                </c:pt>
                <c:pt idx="94">
                  <c:v>135.19999999999999</c:v>
                </c:pt>
                <c:pt idx="95">
                  <c:v>136</c:v>
                </c:pt>
                <c:pt idx="96">
                  <c:v>136.80000000000001</c:v>
                </c:pt>
                <c:pt idx="97">
                  <c:v>137.6</c:v>
                </c:pt>
                <c:pt idx="98">
                  <c:v>138.4</c:v>
                </c:pt>
                <c:pt idx="99">
                  <c:v>139.19999999999999</c:v>
                </c:pt>
                <c:pt idx="100">
                  <c:v>140</c:v>
                </c:pt>
              </c:numCache>
            </c:numRef>
          </c:xVal>
          <c:yVal>
            <c:numRef>
              <c:f>'Option Strategy'!$U$4:$DQ$4</c:f>
              <c:numCache>
                <c:formatCode>General</c:formatCode>
                <c:ptCount val="101"/>
                <c:pt idx="0">
                  <c:v>-1005.3046663074276</c:v>
                </c:pt>
                <c:pt idx="1">
                  <c:v>-982.90466630742776</c:v>
                </c:pt>
                <c:pt idx="2">
                  <c:v>-960.50466630742767</c:v>
                </c:pt>
                <c:pt idx="3">
                  <c:v>-938.10466630742758</c:v>
                </c:pt>
                <c:pt idx="4">
                  <c:v>-915.70466630742749</c:v>
                </c:pt>
                <c:pt idx="5">
                  <c:v>-893.30466630742762</c:v>
                </c:pt>
                <c:pt idx="6">
                  <c:v>-870.90466630742776</c:v>
                </c:pt>
                <c:pt idx="7">
                  <c:v>-848.50466630742767</c:v>
                </c:pt>
                <c:pt idx="8">
                  <c:v>-826.10466630742735</c:v>
                </c:pt>
                <c:pt idx="9">
                  <c:v>-803.70466630742749</c:v>
                </c:pt>
                <c:pt idx="10">
                  <c:v>-781.30466630742762</c:v>
                </c:pt>
                <c:pt idx="11">
                  <c:v>-758.90466630742776</c:v>
                </c:pt>
                <c:pt idx="12">
                  <c:v>-736.50466630742767</c:v>
                </c:pt>
                <c:pt idx="13">
                  <c:v>-714.10466630742735</c:v>
                </c:pt>
                <c:pt idx="14">
                  <c:v>-691.70466630742749</c:v>
                </c:pt>
                <c:pt idx="15">
                  <c:v>-669.30466630742762</c:v>
                </c:pt>
                <c:pt idx="16">
                  <c:v>-646.90466630742776</c:v>
                </c:pt>
                <c:pt idx="17">
                  <c:v>-624.50466630742767</c:v>
                </c:pt>
                <c:pt idx="18">
                  <c:v>-602.10466630742735</c:v>
                </c:pt>
                <c:pt idx="19">
                  <c:v>-579.70466630742749</c:v>
                </c:pt>
                <c:pt idx="20">
                  <c:v>-557.30466630742762</c:v>
                </c:pt>
                <c:pt idx="21">
                  <c:v>-534.90466630742776</c:v>
                </c:pt>
                <c:pt idx="22">
                  <c:v>-512.50466630742767</c:v>
                </c:pt>
                <c:pt idx="23">
                  <c:v>-490.10466630742741</c:v>
                </c:pt>
                <c:pt idx="24">
                  <c:v>-467.70466630742743</c:v>
                </c:pt>
                <c:pt idx="25">
                  <c:v>-445.30466630742757</c:v>
                </c:pt>
                <c:pt idx="26">
                  <c:v>-422.9046663074277</c:v>
                </c:pt>
                <c:pt idx="27">
                  <c:v>-400.50466630742773</c:v>
                </c:pt>
                <c:pt idx="28">
                  <c:v>-378.10466630742741</c:v>
                </c:pt>
                <c:pt idx="29">
                  <c:v>-355.70466630742749</c:v>
                </c:pt>
                <c:pt idx="30">
                  <c:v>-333.30466630742757</c:v>
                </c:pt>
                <c:pt idx="31">
                  <c:v>-310.90466630742765</c:v>
                </c:pt>
                <c:pt idx="32">
                  <c:v>-288.50466630742773</c:v>
                </c:pt>
                <c:pt idx="33">
                  <c:v>-266.10466630742741</c:v>
                </c:pt>
                <c:pt idx="34">
                  <c:v>-243.70466630742749</c:v>
                </c:pt>
                <c:pt idx="35">
                  <c:v>-221.30466630742757</c:v>
                </c:pt>
                <c:pt idx="36">
                  <c:v>-198.90466630742765</c:v>
                </c:pt>
                <c:pt idx="37">
                  <c:v>-176.50466630742773</c:v>
                </c:pt>
                <c:pt idx="38">
                  <c:v>-154.10466630742741</c:v>
                </c:pt>
                <c:pt idx="39">
                  <c:v>-131.70466630742749</c:v>
                </c:pt>
                <c:pt idx="40">
                  <c:v>-109.30466630742757</c:v>
                </c:pt>
                <c:pt idx="41">
                  <c:v>-86.904666307427647</c:v>
                </c:pt>
                <c:pt idx="42">
                  <c:v>-64.504666307427726</c:v>
                </c:pt>
                <c:pt idx="43">
                  <c:v>-42.104666307427408</c:v>
                </c:pt>
                <c:pt idx="44">
                  <c:v>-19.704666307427487</c:v>
                </c:pt>
                <c:pt idx="45">
                  <c:v>2.6953336925724329</c:v>
                </c:pt>
                <c:pt idx="46">
                  <c:v>25.095333692572353</c:v>
                </c:pt>
                <c:pt idx="47">
                  <c:v>47.495333692572274</c:v>
                </c:pt>
                <c:pt idx="48">
                  <c:v>69.895333692572592</c:v>
                </c:pt>
                <c:pt idx="49">
                  <c:v>92.295333692572513</c:v>
                </c:pt>
                <c:pt idx="50">
                  <c:v>114.69533369257243</c:v>
                </c:pt>
                <c:pt idx="51">
                  <c:v>100.29533369257247</c:v>
                </c:pt>
                <c:pt idx="52">
                  <c:v>85.895333692572535</c:v>
                </c:pt>
                <c:pt idx="53">
                  <c:v>71.495333692572331</c:v>
                </c:pt>
                <c:pt idx="54">
                  <c:v>57.095333692572382</c:v>
                </c:pt>
                <c:pt idx="55">
                  <c:v>42.695333692572419</c:v>
                </c:pt>
                <c:pt idx="56">
                  <c:v>28.29533369257247</c:v>
                </c:pt>
                <c:pt idx="57">
                  <c:v>13.895333692572564</c:v>
                </c:pt>
                <c:pt idx="58">
                  <c:v>-0.50466630742764096</c:v>
                </c:pt>
                <c:pt idx="59">
                  <c:v>-14.904666307427647</c:v>
                </c:pt>
                <c:pt idx="60">
                  <c:v>-29.304666307427624</c:v>
                </c:pt>
                <c:pt idx="61">
                  <c:v>-43.704666307427544</c:v>
                </c:pt>
                <c:pt idx="62">
                  <c:v>-58.104666307427522</c:v>
                </c:pt>
                <c:pt idx="63">
                  <c:v>-72.504666307427726</c:v>
                </c:pt>
                <c:pt idx="64">
                  <c:v>-86.904666307427647</c:v>
                </c:pt>
                <c:pt idx="65">
                  <c:v>-101.30466630742762</c:v>
                </c:pt>
                <c:pt idx="66">
                  <c:v>-115.70466630742766</c:v>
                </c:pt>
                <c:pt idx="67">
                  <c:v>-130.10466630742746</c:v>
                </c:pt>
                <c:pt idx="68">
                  <c:v>-144.50466630742767</c:v>
                </c:pt>
                <c:pt idx="69">
                  <c:v>-158.90466630742759</c:v>
                </c:pt>
                <c:pt idx="70">
                  <c:v>-173.30466630742762</c:v>
                </c:pt>
                <c:pt idx="71">
                  <c:v>-187.70466630742766</c:v>
                </c:pt>
                <c:pt idx="72">
                  <c:v>-202.10466630742746</c:v>
                </c:pt>
                <c:pt idx="73">
                  <c:v>-216.50466630742767</c:v>
                </c:pt>
                <c:pt idx="74">
                  <c:v>-230.90466630742742</c:v>
                </c:pt>
                <c:pt idx="75">
                  <c:v>-245.30466630742751</c:v>
                </c:pt>
                <c:pt idx="76">
                  <c:v>-259.7046663074276</c:v>
                </c:pt>
                <c:pt idx="77">
                  <c:v>-274.10466630742724</c:v>
                </c:pt>
                <c:pt idx="78">
                  <c:v>-288.50466630742778</c:v>
                </c:pt>
                <c:pt idx="79">
                  <c:v>-302.90466630742753</c:v>
                </c:pt>
                <c:pt idx="80">
                  <c:v>-317.30466630742785</c:v>
                </c:pt>
                <c:pt idx="81">
                  <c:v>-331.70466630742749</c:v>
                </c:pt>
                <c:pt idx="82">
                  <c:v>-346.10466630742724</c:v>
                </c:pt>
                <c:pt idx="83">
                  <c:v>-360.50466630742778</c:v>
                </c:pt>
                <c:pt idx="84">
                  <c:v>-374.90466630742753</c:v>
                </c:pt>
                <c:pt idx="85">
                  <c:v>-389.30466630742785</c:v>
                </c:pt>
                <c:pt idx="86">
                  <c:v>-403.70466630742771</c:v>
                </c:pt>
                <c:pt idx="87">
                  <c:v>-418.10466630742724</c:v>
                </c:pt>
                <c:pt idx="88">
                  <c:v>-432.50466630742778</c:v>
                </c:pt>
                <c:pt idx="89">
                  <c:v>-446.90466630742731</c:v>
                </c:pt>
                <c:pt idx="90">
                  <c:v>-461.30466630742785</c:v>
                </c:pt>
                <c:pt idx="91">
                  <c:v>-475.70466630742771</c:v>
                </c:pt>
                <c:pt idx="92">
                  <c:v>-490.10466630742724</c:v>
                </c:pt>
                <c:pt idx="93">
                  <c:v>-504.50466630742778</c:v>
                </c:pt>
                <c:pt idx="94">
                  <c:v>-518.90466630742731</c:v>
                </c:pt>
                <c:pt idx="95">
                  <c:v>-533.30466630742785</c:v>
                </c:pt>
                <c:pt idx="96">
                  <c:v>-547.70466630742771</c:v>
                </c:pt>
                <c:pt idx="97">
                  <c:v>-562.10466630742735</c:v>
                </c:pt>
                <c:pt idx="98">
                  <c:v>-576.50466630742767</c:v>
                </c:pt>
                <c:pt idx="99">
                  <c:v>-590.90466630742731</c:v>
                </c:pt>
                <c:pt idx="100">
                  <c:v>-605.30466630742785</c:v>
                </c:pt>
              </c:numCache>
            </c:numRef>
          </c:yVal>
          <c:smooth val="1"/>
          <c:extLst>
            <c:ext xmlns:c16="http://schemas.microsoft.com/office/drawing/2014/chart" uri="{C3380CC4-5D6E-409C-BE32-E72D297353CC}">
              <c16:uniqueId val="{0000000A-D30D-474B-9D6D-67054BE37971}"/>
            </c:ext>
          </c:extLst>
        </c:ser>
        <c:dLbls>
          <c:showLegendKey val="0"/>
          <c:showVal val="0"/>
          <c:showCatName val="0"/>
          <c:showSerName val="0"/>
          <c:showPercent val="0"/>
          <c:showBubbleSize val="0"/>
        </c:dLbls>
        <c:axId val="602793535"/>
        <c:axId val="1079244783"/>
      </c:scatterChart>
      <c:valAx>
        <c:axId val="1075388607"/>
        <c:scaling>
          <c:orientation val="minMax"/>
          <c:max val="140"/>
          <c:min val="6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FR"/>
          </a:p>
        </c:txPr>
        <c:crossAx val="1075390239"/>
        <c:crosses val="autoZero"/>
        <c:crossBetween val="midCat"/>
      </c:valAx>
      <c:valAx>
        <c:axId val="10753902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FR"/>
          </a:p>
        </c:txPr>
        <c:crossAx val="1075388607"/>
        <c:crosses val="autoZero"/>
        <c:crossBetween val="midCat"/>
      </c:valAx>
      <c:valAx>
        <c:axId val="1079244783"/>
        <c:scaling>
          <c:orientation val="minMax"/>
        </c:scaling>
        <c:delete val="0"/>
        <c:axPos val="r"/>
        <c:numFmt formatCode="General" sourceLinked="1"/>
        <c:majorTickMark val="out"/>
        <c:minorTickMark val="none"/>
        <c:tickLblPos val="nextTo"/>
        <c:crossAx val="602793535"/>
        <c:crosses val="max"/>
        <c:crossBetween val="midCat"/>
      </c:valAx>
      <c:valAx>
        <c:axId val="602793535"/>
        <c:scaling>
          <c:orientation val="minMax"/>
        </c:scaling>
        <c:delete val="1"/>
        <c:axPos val="b"/>
        <c:numFmt formatCode="General" sourceLinked="1"/>
        <c:majorTickMark val="out"/>
        <c:minorTickMark val="none"/>
        <c:tickLblPos val="nextTo"/>
        <c:crossAx val="1079244783"/>
        <c:crosses val="autoZero"/>
        <c:crossBetween val="midCat"/>
      </c:valAx>
    </c:plotArea>
    <c:plotVisOnly val="1"/>
    <c:dispBlanksAs val="gap"/>
    <c:showDLblsOverMax val="0"/>
    <c:extLst/>
  </c:chart>
  <c:txPr>
    <a:bodyPr/>
    <a:lstStyle/>
    <a:p>
      <a:pPr>
        <a:defRPr/>
      </a:pPr>
      <a:endParaRPr lang="en-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Gamma </a:t>
            </a:r>
            <a:r>
              <a:rPr lang="el-GR"/>
              <a:t>γ</a:t>
            </a:r>
            <a:endParaRPr lang="en-GB"/>
          </a:p>
        </c:rich>
      </c:tx>
      <c:overlay val="0"/>
      <c:spPr>
        <a:noFill/>
        <a:ln>
          <a:noFill/>
        </a:ln>
        <a:effectLst/>
      </c:spPr>
    </c:title>
    <c:autoTitleDeleted val="0"/>
    <c:plotArea>
      <c:layout/>
      <c:scatterChart>
        <c:scatterStyle val="smoothMarker"/>
        <c:varyColors val="0"/>
        <c:ser>
          <c:idx val="1"/>
          <c:order val="0"/>
          <c:xVal>
            <c:numRef>
              <c:f>'Option Strategy'!$U$3:$DQ$3</c:f>
              <c:numCache>
                <c:formatCode>General</c:formatCode>
                <c:ptCount val="101"/>
                <c:pt idx="0">
                  <c:v>60</c:v>
                </c:pt>
                <c:pt idx="1">
                  <c:v>60.8</c:v>
                </c:pt>
                <c:pt idx="2">
                  <c:v>61.6</c:v>
                </c:pt>
                <c:pt idx="3">
                  <c:v>62.4</c:v>
                </c:pt>
                <c:pt idx="4">
                  <c:v>63.2</c:v>
                </c:pt>
                <c:pt idx="5">
                  <c:v>64</c:v>
                </c:pt>
                <c:pt idx="6">
                  <c:v>64.8</c:v>
                </c:pt>
                <c:pt idx="7">
                  <c:v>65.599999999999994</c:v>
                </c:pt>
                <c:pt idx="8">
                  <c:v>66.400000000000006</c:v>
                </c:pt>
                <c:pt idx="9">
                  <c:v>67.2</c:v>
                </c:pt>
                <c:pt idx="10">
                  <c:v>68</c:v>
                </c:pt>
                <c:pt idx="11">
                  <c:v>68.8</c:v>
                </c:pt>
                <c:pt idx="12">
                  <c:v>69.599999999999994</c:v>
                </c:pt>
                <c:pt idx="13">
                  <c:v>70.400000000000006</c:v>
                </c:pt>
                <c:pt idx="14">
                  <c:v>71.2</c:v>
                </c:pt>
                <c:pt idx="15">
                  <c:v>72</c:v>
                </c:pt>
                <c:pt idx="16">
                  <c:v>72.8</c:v>
                </c:pt>
                <c:pt idx="17">
                  <c:v>73.599999999999994</c:v>
                </c:pt>
                <c:pt idx="18">
                  <c:v>74.400000000000006</c:v>
                </c:pt>
                <c:pt idx="19">
                  <c:v>75.2</c:v>
                </c:pt>
                <c:pt idx="20">
                  <c:v>76</c:v>
                </c:pt>
                <c:pt idx="21">
                  <c:v>76.8</c:v>
                </c:pt>
                <c:pt idx="22">
                  <c:v>77.599999999999994</c:v>
                </c:pt>
                <c:pt idx="23">
                  <c:v>78.400000000000006</c:v>
                </c:pt>
                <c:pt idx="24">
                  <c:v>79.2</c:v>
                </c:pt>
                <c:pt idx="25">
                  <c:v>80</c:v>
                </c:pt>
                <c:pt idx="26">
                  <c:v>80.8</c:v>
                </c:pt>
                <c:pt idx="27">
                  <c:v>81.599999999999994</c:v>
                </c:pt>
                <c:pt idx="28">
                  <c:v>82.4</c:v>
                </c:pt>
                <c:pt idx="29">
                  <c:v>83.2</c:v>
                </c:pt>
                <c:pt idx="30">
                  <c:v>84</c:v>
                </c:pt>
                <c:pt idx="31">
                  <c:v>84.8</c:v>
                </c:pt>
                <c:pt idx="32">
                  <c:v>85.6</c:v>
                </c:pt>
                <c:pt idx="33">
                  <c:v>86.4</c:v>
                </c:pt>
                <c:pt idx="34">
                  <c:v>87.2</c:v>
                </c:pt>
                <c:pt idx="35">
                  <c:v>88</c:v>
                </c:pt>
                <c:pt idx="36">
                  <c:v>88.8</c:v>
                </c:pt>
                <c:pt idx="37">
                  <c:v>89.6</c:v>
                </c:pt>
                <c:pt idx="38">
                  <c:v>90.4</c:v>
                </c:pt>
                <c:pt idx="39">
                  <c:v>91.2</c:v>
                </c:pt>
                <c:pt idx="40">
                  <c:v>92</c:v>
                </c:pt>
                <c:pt idx="41">
                  <c:v>92.8</c:v>
                </c:pt>
                <c:pt idx="42">
                  <c:v>93.6</c:v>
                </c:pt>
                <c:pt idx="43">
                  <c:v>94.4</c:v>
                </c:pt>
                <c:pt idx="44">
                  <c:v>95.2</c:v>
                </c:pt>
                <c:pt idx="45">
                  <c:v>96</c:v>
                </c:pt>
                <c:pt idx="46">
                  <c:v>96.8</c:v>
                </c:pt>
                <c:pt idx="47">
                  <c:v>97.6</c:v>
                </c:pt>
                <c:pt idx="48">
                  <c:v>98.4</c:v>
                </c:pt>
                <c:pt idx="49">
                  <c:v>99.2</c:v>
                </c:pt>
                <c:pt idx="50">
                  <c:v>100</c:v>
                </c:pt>
                <c:pt idx="51">
                  <c:v>100.8</c:v>
                </c:pt>
                <c:pt idx="52">
                  <c:v>101.6</c:v>
                </c:pt>
                <c:pt idx="53">
                  <c:v>102.4</c:v>
                </c:pt>
                <c:pt idx="54">
                  <c:v>103.2</c:v>
                </c:pt>
                <c:pt idx="55">
                  <c:v>104</c:v>
                </c:pt>
                <c:pt idx="56">
                  <c:v>104.8</c:v>
                </c:pt>
                <c:pt idx="57">
                  <c:v>105.6</c:v>
                </c:pt>
                <c:pt idx="58">
                  <c:v>106.4</c:v>
                </c:pt>
                <c:pt idx="59">
                  <c:v>107.2</c:v>
                </c:pt>
                <c:pt idx="60">
                  <c:v>108</c:v>
                </c:pt>
                <c:pt idx="61">
                  <c:v>108.8</c:v>
                </c:pt>
                <c:pt idx="62">
                  <c:v>109.6</c:v>
                </c:pt>
                <c:pt idx="63">
                  <c:v>110.4</c:v>
                </c:pt>
                <c:pt idx="64">
                  <c:v>111.2</c:v>
                </c:pt>
                <c:pt idx="65">
                  <c:v>112</c:v>
                </c:pt>
                <c:pt idx="66">
                  <c:v>112.8</c:v>
                </c:pt>
                <c:pt idx="67">
                  <c:v>113.6</c:v>
                </c:pt>
                <c:pt idx="68">
                  <c:v>114.4</c:v>
                </c:pt>
                <c:pt idx="69">
                  <c:v>115.2</c:v>
                </c:pt>
                <c:pt idx="70">
                  <c:v>116</c:v>
                </c:pt>
                <c:pt idx="71">
                  <c:v>116.8</c:v>
                </c:pt>
                <c:pt idx="72">
                  <c:v>117.6</c:v>
                </c:pt>
                <c:pt idx="73">
                  <c:v>118.4</c:v>
                </c:pt>
                <c:pt idx="74">
                  <c:v>119.2</c:v>
                </c:pt>
                <c:pt idx="75">
                  <c:v>120</c:v>
                </c:pt>
                <c:pt idx="76">
                  <c:v>120.8</c:v>
                </c:pt>
                <c:pt idx="77">
                  <c:v>121.6</c:v>
                </c:pt>
                <c:pt idx="78">
                  <c:v>122.4</c:v>
                </c:pt>
                <c:pt idx="79">
                  <c:v>123.2</c:v>
                </c:pt>
                <c:pt idx="80">
                  <c:v>124</c:v>
                </c:pt>
                <c:pt idx="81">
                  <c:v>124.8</c:v>
                </c:pt>
                <c:pt idx="82">
                  <c:v>125.6</c:v>
                </c:pt>
                <c:pt idx="83">
                  <c:v>126.4</c:v>
                </c:pt>
                <c:pt idx="84">
                  <c:v>127.2</c:v>
                </c:pt>
                <c:pt idx="85">
                  <c:v>128</c:v>
                </c:pt>
                <c:pt idx="86">
                  <c:v>128.80000000000001</c:v>
                </c:pt>
                <c:pt idx="87">
                  <c:v>129.6</c:v>
                </c:pt>
                <c:pt idx="88">
                  <c:v>130.4</c:v>
                </c:pt>
                <c:pt idx="89">
                  <c:v>131.19999999999999</c:v>
                </c:pt>
                <c:pt idx="90">
                  <c:v>132</c:v>
                </c:pt>
                <c:pt idx="91">
                  <c:v>132.80000000000001</c:v>
                </c:pt>
                <c:pt idx="92">
                  <c:v>133.6</c:v>
                </c:pt>
                <c:pt idx="93">
                  <c:v>134.4</c:v>
                </c:pt>
                <c:pt idx="94">
                  <c:v>135.19999999999999</c:v>
                </c:pt>
                <c:pt idx="95">
                  <c:v>136</c:v>
                </c:pt>
                <c:pt idx="96">
                  <c:v>136.80000000000001</c:v>
                </c:pt>
                <c:pt idx="97">
                  <c:v>137.6</c:v>
                </c:pt>
                <c:pt idx="98">
                  <c:v>138.4</c:v>
                </c:pt>
                <c:pt idx="99">
                  <c:v>139.19999999999999</c:v>
                </c:pt>
                <c:pt idx="100">
                  <c:v>140</c:v>
                </c:pt>
              </c:numCache>
            </c:numRef>
          </c:xVal>
          <c:yVal>
            <c:numRef>
              <c:f>'Option Strategy'!$U$6:$DQ$6</c:f>
              <c:numCache>
                <c:formatCode>General</c:formatCode>
                <c:ptCount val="101"/>
                <c:pt idx="0">
                  <c:v>-2.9002160274709554E-7</c:v>
                </c:pt>
                <c:pt idx="1">
                  <c:v>-5.5039420191931237E-7</c:v>
                </c:pt>
                <c:pt idx="2">
                  <c:v>-1.0179020296313206E-6</c:v>
                </c:pt>
                <c:pt idx="3">
                  <c:v>-1.8361712381949785E-6</c:v>
                </c:pt>
                <c:pt idx="4">
                  <c:v>-3.2334389398257429E-6</c:v>
                </c:pt>
                <c:pt idx="5">
                  <c:v>-5.56305529741636E-6</c:v>
                </c:pt>
                <c:pt idx="6">
                  <c:v>-9.3582984026715681E-6</c:v>
                </c:pt>
                <c:pt idx="7">
                  <c:v>-1.5404167479380713E-5</c:v>
                </c:pt>
                <c:pt idx="8">
                  <c:v>-2.4828282258079014E-5</c:v>
                </c:pt>
                <c:pt idx="9">
                  <c:v>-3.9211950669425961E-5</c:v>
                </c:pt>
                <c:pt idx="10">
                  <c:v>-6.0720790409147944E-5</c:v>
                </c:pt>
                <c:pt idx="11">
                  <c:v>-9.2251977460994952E-5</c:v>
                </c:pt>
                <c:pt idx="12">
                  <c:v>-1.3759230106191947E-4</c:v>
                </c:pt>
                <c:pt idx="13">
                  <c:v>-2.0157787525577724E-4</c:v>
                </c:pt>
                <c:pt idx="14">
                  <c:v>-2.9024281940892989E-4</c:v>
                </c:pt>
                <c:pt idx="15">
                  <c:v>-4.1094074552347877E-4</c:v>
                </c:pt>
                <c:pt idx="16">
                  <c:v>-5.7241972228815443E-4</c:v>
                </c:pt>
                <c:pt idx="17">
                  <c:v>-7.8482863395552946E-4</c:v>
                </c:pt>
                <c:pt idx="18">
                  <c:v>-1.0596303722003721E-3</c:v>
                </c:pt>
                <c:pt idx="19">
                  <c:v>-1.4093946077155441E-3</c:v>
                </c:pt>
                <c:pt idx="20">
                  <c:v>-1.8474391937997252E-3</c:v>
                </c:pt>
                <c:pt idx="21">
                  <c:v>-2.3872837146806983E-3</c:v>
                </c:pt>
                <c:pt idx="22">
                  <c:v>-3.0418710001642907E-3</c:v>
                </c:pt>
                <c:pt idx="23">
                  <c:v>-3.8225037437371909E-3</c:v>
                </c:pt>
                <c:pt idx="24">
                  <c:v>-4.7374374139055597E-3</c:v>
                </c:pt>
                <c:pt idx="25">
                  <c:v>-5.7900745941390861E-3</c:v>
                </c:pt>
                <c:pt idx="26">
                  <c:v>-6.9767302208235604E-3</c:v>
                </c:pt>
                <c:pt idx="27">
                  <c:v>-8.2839939592128532E-3</c:v>
                </c:pt>
                <c:pt idx="28">
                  <c:v>-9.6858148032073627E-3</c:v>
                </c:pt>
                <c:pt idx="29">
                  <c:v>-1.1140575284617753E-2</c:v>
                </c:pt>
                <c:pt idx="30">
                  <c:v>-1.258859522238733E-2</c:v>
                </c:pt>
                <c:pt idx="31">
                  <c:v>-1.3950675645711274E-2</c:v>
                </c:pt>
                <c:pt idx="32">
                  <c:v>-1.5128412174315042E-2</c:v>
                </c:pt>
                <c:pt idx="33">
                  <c:v>-1.6007013485199017E-2</c:v>
                </c:pt>
                <c:pt idx="34">
                  <c:v>-1.6461199874594858E-2</c:v>
                </c:pt>
                <c:pt idx="35">
                  <c:v>-1.6364400516866752E-2</c:v>
                </c:pt>
                <c:pt idx="36">
                  <c:v>-1.5600931850353661E-2</c:v>
                </c:pt>
                <c:pt idx="37">
                  <c:v>-1.4080194782568259E-2</c:v>
                </c:pt>
                <c:pt idx="38">
                  <c:v>-1.1751296854514818E-2</c:v>
                </c:pt>
                <c:pt idx="39">
                  <c:v>-8.6160374917104432E-3</c:v>
                </c:pt>
                <c:pt idx="40">
                  <c:v>-4.7380331007310823E-3</c:v>
                </c:pt>
                <c:pt idx="41">
                  <c:v>-2.4599915113414361E-4</c:v>
                </c:pt>
                <c:pt idx="42">
                  <c:v>4.6701377937830232E-3</c:v>
                </c:pt>
                <c:pt idx="43">
                  <c:v>9.7706362663973964E-3</c:v>
                </c:pt>
                <c:pt idx="44">
                  <c:v>1.4784028499508307E-2</c:v>
                </c:pt>
                <c:pt idx="45">
                  <c:v>1.9429985321760192E-2</c:v>
                </c:pt>
                <c:pt idx="46">
                  <c:v>2.3444213941257092E-2</c:v>
                </c:pt>
                <c:pt idx="47">
                  <c:v>2.6602259006190704E-2</c:v>
                </c:pt>
                <c:pt idx="48">
                  <c:v>2.8739209409689333E-2</c:v>
                </c:pt>
                <c:pt idx="49">
                  <c:v>2.9762933649547192E-2</c:v>
                </c:pt>
                <c:pt idx="50">
                  <c:v>2.9659448035185623E-2</c:v>
                </c:pt>
                <c:pt idx="51">
                  <c:v>2.8490173068490332E-2</c:v>
                </c:pt>
                <c:pt idx="52">
                  <c:v>2.638194312999817E-2</c:v>
                </c:pt>
                <c:pt idx="53">
                  <c:v>2.3511518733179998E-2</c:v>
                </c:pt>
                <c:pt idx="54">
                  <c:v>2.0086885716766985E-2</c:v>
                </c:pt>
                <c:pt idx="55">
                  <c:v>1.632776666559177E-2</c:v>
                </c:pt>
                <c:pt idx="56">
                  <c:v>1.2447547580065006E-2</c:v>
                </c:pt>
                <c:pt idx="57">
                  <c:v>8.6383268271745493E-3</c:v>
                </c:pt>
                <c:pt idx="58">
                  <c:v>5.0601449657932396E-3</c:v>
                </c:pt>
                <c:pt idx="59">
                  <c:v>1.8347780269264181E-3</c:v>
                </c:pt>
                <c:pt idx="60">
                  <c:v>-9.5612156615532129E-4</c:v>
                </c:pt>
                <c:pt idx="61">
                  <c:v>-3.2692021034281503E-3</c:v>
                </c:pt>
                <c:pt idx="62">
                  <c:v>-5.0948428045622801E-3</c:v>
                </c:pt>
                <c:pt idx="63">
                  <c:v>-6.4508647308439675E-3</c:v>
                </c:pt>
                <c:pt idx="64">
                  <c:v>-7.3754952119260333E-3</c:v>
                </c:pt>
                <c:pt idx="65">
                  <c:v>-7.9204007979994401E-3</c:v>
                </c:pt>
                <c:pt idx="66">
                  <c:v>-8.1443906303616011E-3</c:v>
                </c:pt>
                <c:pt idx="67">
                  <c:v>-8.1081663660917298E-3</c:v>
                </c:pt>
                <c:pt idx="68">
                  <c:v>-7.8702887663673008E-3</c:v>
                </c:pt>
                <c:pt idx="69">
                  <c:v>-7.4843648979240965E-3</c:v>
                </c:pt>
                <c:pt idx="70">
                  <c:v>-6.9973421866387367E-3</c:v>
                </c:pt>
                <c:pt idx="71">
                  <c:v>-6.4487256804961228E-3</c:v>
                </c:pt>
                <c:pt idx="72">
                  <c:v>-5.8705060591223348E-3</c:v>
                </c:pt>
                <c:pt idx="73">
                  <c:v>-5.2875882608414207E-3</c:v>
                </c:pt>
                <c:pt idx="74">
                  <c:v>-4.7185335034352384E-3</c:v>
                </c:pt>
                <c:pt idx="75">
                  <c:v>-4.1764614019715682E-3</c:v>
                </c:pt>
                <c:pt idx="76">
                  <c:v>-3.6699962631045833E-3</c:v>
                </c:pt>
                <c:pt idx="77">
                  <c:v>-3.2041771714808988E-3</c:v>
                </c:pt>
                <c:pt idx="78">
                  <c:v>-2.7812820377007214E-3</c:v>
                </c:pt>
                <c:pt idx="79">
                  <c:v>-2.4015399587475903E-3</c:v>
                </c:pt>
                <c:pt idx="80">
                  <c:v>-2.0637239243718707E-3</c:v>
                </c:pt>
                <c:pt idx="81">
                  <c:v>-1.7656277499371574E-3</c:v>
                </c:pt>
                <c:pt idx="82">
                  <c:v>-1.5044381873888057E-3</c:v>
                </c:pt>
                <c:pt idx="83">
                  <c:v>-1.2770166289372247E-3</c:v>
                </c:pt>
                <c:pt idx="84">
                  <c:v>-1.080105763629611E-3</c:v>
                </c:pt>
                <c:pt idx="85">
                  <c:v>-9.1047589116363529E-4</c:v>
                </c:pt>
                <c:pt idx="86">
                  <c:v>-7.6502404676724806E-4</c:v>
                </c:pt>
                <c:pt idx="87">
                  <c:v>-6.4083715002235067E-4</c:v>
                </c:pt>
                <c:pt idx="88">
                  <c:v>-5.3522839029046553E-4</c:v>
                </c:pt>
                <c:pt idx="89">
                  <c:v>-4.4575419777278136E-4</c:v>
                </c:pt>
                <c:pt idx="90">
                  <c:v>-3.7021752042373215E-4</c:v>
                </c:pt>
                <c:pt idx="91">
                  <c:v>-3.0666176606455344E-4</c:v>
                </c:pt>
                <c:pt idx="92">
                  <c:v>-2.5335866971924027E-4</c:v>
                </c:pt>
                <c:pt idx="93">
                  <c:v>-2.0879248103133937E-4</c:v>
                </c:pt>
                <c:pt idx="94">
                  <c:v>-1.7164219962891315E-4</c:v>
                </c:pt>
                <c:pt idx="95">
                  <c:v>-1.4076308050336235E-4</c:v>
                </c:pt>
                <c:pt idx="96">
                  <c:v>-1.1516825300765535E-4</c:v>
                </c:pt>
                <c:pt idx="97">
                  <c:v>-9.4011017068912478E-5</c:v>
                </c:pt>
                <c:pt idx="98">
                  <c:v>-7.6568175118640755E-5</c:v>
                </c:pt>
                <c:pt idx="99">
                  <c:v>-6.2224609531397123E-5</c:v>
                </c:pt>
                <c:pt idx="100">
                  <c:v>-5.0459208764176789E-5</c:v>
                </c:pt>
              </c:numCache>
            </c:numRef>
          </c:yVal>
          <c:smooth val="1"/>
          <c:extLst>
            <c:ext xmlns:c16="http://schemas.microsoft.com/office/drawing/2014/chart" uri="{C3380CC4-5D6E-409C-BE32-E72D297353CC}">
              <c16:uniqueId val="{00000007-14D4-174A-A39F-89E6852E2191}"/>
            </c:ext>
          </c:extLst>
        </c:ser>
        <c:dLbls>
          <c:showLegendKey val="0"/>
          <c:showVal val="0"/>
          <c:showCatName val="0"/>
          <c:showSerName val="0"/>
          <c:showPercent val="0"/>
          <c:showBubbleSize val="0"/>
        </c:dLbls>
        <c:axId val="1075388607"/>
        <c:axId val="1075390239"/>
      </c:scatterChart>
      <c:scatterChart>
        <c:scatterStyle val="smoothMarker"/>
        <c:varyColors val="0"/>
        <c:ser>
          <c:idx val="0"/>
          <c:order val="1"/>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'Option Strategy'!$U$3:$DQ$3</c:f>
              <c:numCache>
                <c:formatCode>General</c:formatCode>
                <c:ptCount val="101"/>
                <c:pt idx="0">
                  <c:v>60</c:v>
                </c:pt>
                <c:pt idx="1">
                  <c:v>60.8</c:v>
                </c:pt>
                <c:pt idx="2">
                  <c:v>61.6</c:v>
                </c:pt>
                <c:pt idx="3">
                  <c:v>62.4</c:v>
                </c:pt>
                <c:pt idx="4">
                  <c:v>63.2</c:v>
                </c:pt>
                <c:pt idx="5">
                  <c:v>64</c:v>
                </c:pt>
                <c:pt idx="6">
                  <c:v>64.8</c:v>
                </c:pt>
                <c:pt idx="7">
                  <c:v>65.599999999999994</c:v>
                </c:pt>
                <c:pt idx="8">
                  <c:v>66.400000000000006</c:v>
                </c:pt>
                <c:pt idx="9">
                  <c:v>67.2</c:v>
                </c:pt>
                <c:pt idx="10">
                  <c:v>68</c:v>
                </c:pt>
                <c:pt idx="11">
                  <c:v>68.8</c:v>
                </c:pt>
                <c:pt idx="12">
                  <c:v>69.599999999999994</c:v>
                </c:pt>
                <c:pt idx="13">
                  <c:v>70.400000000000006</c:v>
                </c:pt>
                <c:pt idx="14">
                  <c:v>71.2</c:v>
                </c:pt>
                <c:pt idx="15">
                  <c:v>72</c:v>
                </c:pt>
                <c:pt idx="16">
                  <c:v>72.8</c:v>
                </c:pt>
                <c:pt idx="17">
                  <c:v>73.599999999999994</c:v>
                </c:pt>
                <c:pt idx="18">
                  <c:v>74.400000000000006</c:v>
                </c:pt>
                <c:pt idx="19">
                  <c:v>75.2</c:v>
                </c:pt>
                <c:pt idx="20">
                  <c:v>76</c:v>
                </c:pt>
                <c:pt idx="21">
                  <c:v>76.8</c:v>
                </c:pt>
                <c:pt idx="22">
                  <c:v>77.599999999999994</c:v>
                </c:pt>
                <c:pt idx="23">
                  <c:v>78.400000000000006</c:v>
                </c:pt>
                <c:pt idx="24">
                  <c:v>79.2</c:v>
                </c:pt>
                <c:pt idx="25">
                  <c:v>80</c:v>
                </c:pt>
                <c:pt idx="26">
                  <c:v>80.8</c:v>
                </c:pt>
                <c:pt idx="27">
                  <c:v>81.599999999999994</c:v>
                </c:pt>
                <c:pt idx="28">
                  <c:v>82.4</c:v>
                </c:pt>
                <c:pt idx="29">
                  <c:v>83.2</c:v>
                </c:pt>
                <c:pt idx="30">
                  <c:v>84</c:v>
                </c:pt>
                <c:pt idx="31">
                  <c:v>84.8</c:v>
                </c:pt>
                <c:pt idx="32">
                  <c:v>85.6</c:v>
                </c:pt>
                <c:pt idx="33">
                  <c:v>86.4</c:v>
                </c:pt>
                <c:pt idx="34">
                  <c:v>87.2</c:v>
                </c:pt>
                <c:pt idx="35">
                  <c:v>88</c:v>
                </c:pt>
                <c:pt idx="36">
                  <c:v>88.8</c:v>
                </c:pt>
                <c:pt idx="37">
                  <c:v>89.6</c:v>
                </c:pt>
                <c:pt idx="38">
                  <c:v>90.4</c:v>
                </c:pt>
                <c:pt idx="39">
                  <c:v>91.2</c:v>
                </c:pt>
                <c:pt idx="40">
                  <c:v>92</c:v>
                </c:pt>
                <c:pt idx="41">
                  <c:v>92.8</c:v>
                </c:pt>
                <c:pt idx="42">
                  <c:v>93.6</c:v>
                </c:pt>
                <c:pt idx="43">
                  <c:v>94.4</c:v>
                </c:pt>
                <c:pt idx="44">
                  <c:v>95.2</c:v>
                </c:pt>
                <c:pt idx="45">
                  <c:v>96</c:v>
                </c:pt>
                <c:pt idx="46">
                  <c:v>96.8</c:v>
                </c:pt>
                <c:pt idx="47">
                  <c:v>97.6</c:v>
                </c:pt>
                <c:pt idx="48">
                  <c:v>98.4</c:v>
                </c:pt>
                <c:pt idx="49">
                  <c:v>99.2</c:v>
                </c:pt>
                <c:pt idx="50">
                  <c:v>100</c:v>
                </c:pt>
                <c:pt idx="51">
                  <c:v>100.8</c:v>
                </c:pt>
                <c:pt idx="52">
                  <c:v>101.6</c:v>
                </c:pt>
                <c:pt idx="53">
                  <c:v>102.4</c:v>
                </c:pt>
                <c:pt idx="54">
                  <c:v>103.2</c:v>
                </c:pt>
                <c:pt idx="55">
                  <c:v>104</c:v>
                </c:pt>
                <c:pt idx="56">
                  <c:v>104.8</c:v>
                </c:pt>
                <c:pt idx="57">
                  <c:v>105.6</c:v>
                </c:pt>
                <c:pt idx="58">
                  <c:v>106.4</c:v>
                </c:pt>
                <c:pt idx="59">
                  <c:v>107.2</c:v>
                </c:pt>
                <c:pt idx="60">
                  <c:v>108</c:v>
                </c:pt>
                <c:pt idx="61">
                  <c:v>108.8</c:v>
                </c:pt>
                <c:pt idx="62">
                  <c:v>109.6</c:v>
                </c:pt>
                <c:pt idx="63">
                  <c:v>110.4</c:v>
                </c:pt>
                <c:pt idx="64">
                  <c:v>111.2</c:v>
                </c:pt>
                <c:pt idx="65">
                  <c:v>112</c:v>
                </c:pt>
                <c:pt idx="66">
                  <c:v>112.8</c:v>
                </c:pt>
                <c:pt idx="67">
                  <c:v>113.6</c:v>
                </c:pt>
                <c:pt idx="68">
                  <c:v>114.4</c:v>
                </c:pt>
                <c:pt idx="69">
                  <c:v>115.2</c:v>
                </c:pt>
                <c:pt idx="70">
                  <c:v>116</c:v>
                </c:pt>
                <c:pt idx="71">
                  <c:v>116.8</c:v>
                </c:pt>
                <c:pt idx="72">
                  <c:v>117.6</c:v>
                </c:pt>
                <c:pt idx="73">
                  <c:v>118.4</c:v>
                </c:pt>
                <c:pt idx="74">
                  <c:v>119.2</c:v>
                </c:pt>
                <c:pt idx="75">
                  <c:v>120</c:v>
                </c:pt>
                <c:pt idx="76">
                  <c:v>120.8</c:v>
                </c:pt>
                <c:pt idx="77">
                  <c:v>121.6</c:v>
                </c:pt>
                <c:pt idx="78">
                  <c:v>122.4</c:v>
                </c:pt>
                <c:pt idx="79">
                  <c:v>123.2</c:v>
                </c:pt>
                <c:pt idx="80">
                  <c:v>124</c:v>
                </c:pt>
                <c:pt idx="81">
                  <c:v>124.8</c:v>
                </c:pt>
                <c:pt idx="82">
                  <c:v>125.6</c:v>
                </c:pt>
                <c:pt idx="83">
                  <c:v>126.4</c:v>
                </c:pt>
                <c:pt idx="84">
                  <c:v>127.2</c:v>
                </c:pt>
                <c:pt idx="85">
                  <c:v>128</c:v>
                </c:pt>
                <c:pt idx="86">
                  <c:v>128.80000000000001</c:v>
                </c:pt>
                <c:pt idx="87">
                  <c:v>129.6</c:v>
                </c:pt>
                <c:pt idx="88">
                  <c:v>130.4</c:v>
                </c:pt>
                <c:pt idx="89">
                  <c:v>131.19999999999999</c:v>
                </c:pt>
                <c:pt idx="90">
                  <c:v>132</c:v>
                </c:pt>
                <c:pt idx="91">
                  <c:v>132.80000000000001</c:v>
                </c:pt>
                <c:pt idx="92">
                  <c:v>133.6</c:v>
                </c:pt>
                <c:pt idx="93">
                  <c:v>134.4</c:v>
                </c:pt>
                <c:pt idx="94">
                  <c:v>135.19999999999999</c:v>
                </c:pt>
                <c:pt idx="95">
                  <c:v>136</c:v>
                </c:pt>
                <c:pt idx="96">
                  <c:v>136.80000000000001</c:v>
                </c:pt>
                <c:pt idx="97">
                  <c:v>137.6</c:v>
                </c:pt>
                <c:pt idx="98">
                  <c:v>138.4</c:v>
                </c:pt>
                <c:pt idx="99">
                  <c:v>139.19999999999999</c:v>
                </c:pt>
                <c:pt idx="100">
                  <c:v>140</c:v>
                </c:pt>
              </c:numCache>
            </c:numRef>
          </c:xVal>
          <c:yVal>
            <c:numRef>
              <c:f>'Option Strategy'!$U$4:$DQ$4</c:f>
              <c:numCache>
                <c:formatCode>General</c:formatCode>
                <c:ptCount val="101"/>
                <c:pt idx="0">
                  <c:v>-1005.3046663074276</c:v>
                </c:pt>
                <c:pt idx="1">
                  <c:v>-982.90466630742776</c:v>
                </c:pt>
                <c:pt idx="2">
                  <c:v>-960.50466630742767</c:v>
                </c:pt>
                <c:pt idx="3">
                  <c:v>-938.10466630742758</c:v>
                </c:pt>
                <c:pt idx="4">
                  <c:v>-915.70466630742749</c:v>
                </c:pt>
                <c:pt idx="5">
                  <c:v>-893.30466630742762</c:v>
                </c:pt>
                <c:pt idx="6">
                  <c:v>-870.90466630742776</c:v>
                </c:pt>
                <c:pt idx="7">
                  <c:v>-848.50466630742767</c:v>
                </c:pt>
                <c:pt idx="8">
                  <c:v>-826.10466630742735</c:v>
                </c:pt>
                <c:pt idx="9">
                  <c:v>-803.70466630742749</c:v>
                </c:pt>
                <c:pt idx="10">
                  <c:v>-781.30466630742762</c:v>
                </c:pt>
                <c:pt idx="11">
                  <c:v>-758.90466630742776</c:v>
                </c:pt>
                <c:pt idx="12">
                  <c:v>-736.50466630742767</c:v>
                </c:pt>
                <c:pt idx="13">
                  <c:v>-714.10466630742735</c:v>
                </c:pt>
                <c:pt idx="14">
                  <c:v>-691.70466630742749</c:v>
                </c:pt>
                <c:pt idx="15">
                  <c:v>-669.30466630742762</c:v>
                </c:pt>
                <c:pt idx="16">
                  <c:v>-646.90466630742776</c:v>
                </c:pt>
                <c:pt idx="17">
                  <c:v>-624.50466630742767</c:v>
                </c:pt>
                <c:pt idx="18">
                  <c:v>-602.10466630742735</c:v>
                </c:pt>
                <c:pt idx="19">
                  <c:v>-579.70466630742749</c:v>
                </c:pt>
                <c:pt idx="20">
                  <c:v>-557.30466630742762</c:v>
                </c:pt>
                <c:pt idx="21">
                  <c:v>-534.90466630742776</c:v>
                </c:pt>
                <c:pt idx="22">
                  <c:v>-512.50466630742767</c:v>
                </c:pt>
                <c:pt idx="23">
                  <c:v>-490.10466630742741</c:v>
                </c:pt>
                <c:pt idx="24">
                  <c:v>-467.70466630742743</c:v>
                </c:pt>
                <c:pt idx="25">
                  <c:v>-445.30466630742757</c:v>
                </c:pt>
                <c:pt idx="26">
                  <c:v>-422.9046663074277</c:v>
                </c:pt>
                <c:pt idx="27">
                  <c:v>-400.50466630742773</c:v>
                </c:pt>
                <c:pt idx="28">
                  <c:v>-378.10466630742741</c:v>
                </c:pt>
                <c:pt idx="29">
                  <c:v>-355.70466630742749</c:v>
                </c:pt>
                <c:pt idx="30">
                  <c:v>-333.30466630742757</c:v>
                </c:pt>
                <c:pt idx="31">
                  <c:v>-310.90466630742765</c:v>
                </c:pt>
                <c:pt idx="32">
                  <c:v>-288.50466630742773</c:v>
                </c:pt>
                <c:pt idx="33">
                  <c:v>-266.10466630742741</c:v>
                </c:pt>
                <c:pt idx="34">
                  <c:v>-243.70466630742749</c:v>
                </c:pt>
                <c:pt idx="35">
                  <c:v>-221.30466630742757</c:v>
                </c:pt>
                <c:pt idx="36">
                  <c:v>-198.90466630742765</c:v>
                </c:pt>
                <c:pt idx="37">
                  <c:v>-176.50466630742773</c:v>
                </c:pt>
                <c:pt idx="38">
                  <c:v>-154.10466630742741</c:v>
                </c:pt>
                <c:pt idx="39">
                  <c:v>-131.70466630742749</c:v>
                </c:pt>
                <c:pt idx="40">
                  <c:v>-109.30466630742757</c:v>
                </c:pt>
                <c:pt idx="41">
                  <c:v>-86.904666307427647</c:v>
                </c:pt>
                <c:pt idx="42">
                  <c:v>-64.504666307427726</c:v>
                </c:pt>
                <c:pt idx="43">
                  <c:v>-42.104666307427408</c:v>
                </c:pt>
                <c:pt idx="44">
                  <c:v>-19.704666307427487</c:v>
                </c:pt>
                <c:pt idx="45">
                  <c:v>2.6953336925724329</c:v>
                </c:pt>
                <c:pt idx="46">
                  <c:v>25.095333692572353</c:v>
                </c:pt>
                <c:pt idx="47">
                  <c:v>47.495333692572274</c:v>
                </c:pt>
                <c:pt idx="48">
                  <c:v>69.895333692572592</c:v>
                </c:pt>
                <c:pt idx="49">
                  <c:v>92.295333692572513</c:v>
                </c:pt>
                <c:pt idx="50">
                  <c:v>114.69533369257243</c:v>
                </c:pt>
                <c:pt idx="51">
                  <c:v>100.29533369257247</c:v>
                </c:pt>
                <c:pt idx="52">
                  <c:v>85.895333692572535</c:v>
                </c:pt>
                <c:pt idx="53">
                  <c:v>71.495333692572331</c:v>
                </c:pt>
                <c:pt idx="54">
                  <c:v>57.095333692572382</c:v>
                </c:pt>
                <c:pt idx="55">
                  <c:v>42.695333692572419</c:v>
                </c:pt>
                <c:pt idx="56">
                  <c:v>28.29533369257247</c:v>
                </c:pt>
                <c:pt idx="57">
                  <c:v>13.895333692572564</c:v>
                </c:pt>
                <c:pt idx="58">
                  <c:v>-0.50466630742764096</c:v>
                </c:pt>
                <c:pt idx="59">
                  <c:v>-14.904666307427647</c:v>
                </c:pt>
                <c:pt idx="60">
                  <c:v>-29.304666307427624</c:v>
                </c:pt>
                <c:pt idx="61">
                  <c:v>-43.704666307427544</c:v>
                </c:pt>
                <c:pt idx="62">
                  <c:v>-58.104666307427522</c:v>
                </c:pt>
                <c:pt idx="63">
                  <c:v>-72.504666307427726</c:v>
                </c:pt>
                <c:pt idx="64">
                  <c:v>-86.904666307427647</c:v>
                </c:pt>
                <c:pt idx="65">
                  <c:v>-101.30466630742762</c:v>
                </c:pt>
                <c:pt idx="66">
                  <c:v>-115.70466630742766</c:v>
                </c:pt>
                <c:pt idx="67">
                  <c:v>-130.10466630742746</c:v>
                </c:pt>
                <c:pt idx="68">
                  <c:v>-144.50466630742767</c:v>
                </c:pt>
                <c:pt idx="69">
                  <c:v>-158.90466630742759</c:v>
                </c:pt>
                <c:pt idx="70">
                  <c:v>-173.30466630742762</c:v>
                </c:pt>
                <c:pt idx="71">
                  <c:v>-187.70466630742766</c:v>
                </c:pt>
                <c:pt idx="72">
                  <c:v>-202.10466630742746</c:v>
                </c:pt>
                <c:pt idx="73">
                  <c:v>-216.50466630742767</c:v>
                </c:pt>
                <c:pt idx="74">
                  <c:v>-230.90466630742742</c:v>
                </c:pt>
                <c:pt idx="75">
                  <c:v>-245.30466630742751</c:v>
                </c:pt>
                <c:pt idx="76">
                  <c:v>-259.7046663074276</c:v>
                </c:pt>
                <c:pt idx="77">
                  <c:v>-274.10466630742724</c:v>
                </c:pt>
                <c:pt idx="78">
                  <c:v>-288.50466630742778</c:v>
                </c:pt>
                <c:pt idx="79">
                  <c:v>-302.90466630742753</c:v>
                </c:pt>
                <c:pt idx="80">
                  <c:v>-317.30466630742785</c:v>
                </c:pt>
                <c:pt idx="81">
                  <c:v>-331.70466630742749</c:v>
                </c:pt>
                <c:pt idx="82">
                  <c:v>-346.10466630742724</c:v>
                </c:pt>
                <c:pt idx="83">
                  <c:v>-360.50466630742778</c:v>
                </c:pt>
                <c:pt idx="84">
                  <c:v>-374.90466630742753</c:v>
                </c:pt>
                <c:pt idx="85">
                  <c:v>-389.30466630742785</c:v>
                </c:pt>
                <c:pt idx="86">
                  <c:v>-403.70466630742771</c:v>
                </c:pt>
                <c:pt idx="87">
                  <c:v>-418.10466630742724</c:v>
                </c:pt>
                <c:pt idx="88">
                  <c:v>-432.50466630742778</c:v>
                </c:pt>
                <c:pt idx="89">
                  <c:v>-446.90466630742731</c:v>
                </c:pt>
                <c:pt idx="90">
                  <c:v>-461.30466630742785</c:v>
                </c:pt>
                <c:pt idx="91">
                  <c:v>-475.70466630742771</c:v>
                </c:pt>
                <c:pt idx="92">
                  <c:v>-490.10466630742724</c:v>
                </c:pt>
                <c:pt idx="93">
                  <c:v>-504.50466630742778</c:v>
                </c:pt>
                <c:pt idx="94">
                  <c:v>-518.90466630742731</c:v>
                </c:pt>
                <c:pt idx="95">
                  <c:v>-533.30466630742785</c:v>
                </c:pt>
                <c:pt idx="96">
                  <c:v>-547.70466630742771</c:v>
                </c:pt>
                <c:pt idx="97">
                  <c:v>-562.10466630742735</c:v>
                </c:pt>
                <c:pt idx="98">
                  <c:v>-576.50466630742767</c:v>
                </c:pt>
                <c:pt idx="99">
                  <c:v>-590.90466630742731</c:v>
                </c:pt>
                <c:pt idx="100">
                  <c:v>-605.30466630742785</c:v>
                </c:pt>
              </c:numCache>
            </c:numRef>
          </c:yVal>
          <c:smooth val="1"/>
          <c:extLst>
            <c:ext xmlns:c16="http://schemas.microsoft.com/office/drawing/2014/chart" uri="{C3380CC4-5D6E-409C-BE32-E72D297353CC}">
              <c16:uniqueId val="{00000006-14D4-174A-A39F-89E6852E2191}"/>
            </c:ext>
          </c:extLst>
        </c:ser>
        <c:dLbls>
          <c:showLegendKey val="0"/>
          <c:showVal val="0"/>
          <c:showCatName val="0"/>
          <c:showSerName val="0"/>
          <c:showPercent val="0"/>
          <c:showBubbleSize val="0"/>
        </c:dLbls>
        <c:axId val="623405647"/>
        <c:axId val="1062277135"/>
      </c:scatterChart>
      <c:valAx>
        <c:axId val="1075388607"/>
        <c:scaling>
          <c:orientation val="minMax"/>
          <c:max val="140"/>
          <c:min val="6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FR"/>
          </a:p>
        </c:txPr>
        <c:crossAx val="1075390239"/>
        <c:crosses val="autoZero"/>
        <c:crossBetween val="midCat"/>
      </c:valAx>
      <c:valAx>
        <c:axId val="10753902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FR"/>
          </a:p>
        </c:txPr>
        <c:crossAx val="1075388607"/>
        <c:crosses val="autoZero"/>
        <c:crossBetween val="midCat"/>
      </c:valAx>
      <c:valAx>
        <c:axId val="1062277135"/>
        <c:scaling>
          <c:orientation val="minMax"/>
        </c:scaling>
        <c:delete val="0"/>
        <c:axPos val="r"/>
        <c:numFmt formatCode="General" sourceLinked="1"/>
        <c:majorTickMark val="out"/>
        <c:minorTickMark val="none"/>
        <c:tickLblPos val="nextTo"/>
        <c:crossAx val="623405647"/>
        <c:crosses val="max"/>
        <c:crossBetween val="midCat"/>
      </c:valAx>
      <c:valAx>
        <c:axId val="623405647"/>
        <c:scaling>
          <c:orientation val="minMax"/>
        </c:scaling>
        <c:delete val="1"/>
        <c:axPos val="b"/>
        <c:numFmt formatCode="General" sourceLinked="1"/>
        <c:majorTickMark val="out"/>
        <c:minorTickMark val="none"/>
        <c:tickLblPos val="nextTo"/>
        <c:crossAx val="1062277135"/>
        <c:crosses val="autoZero"/>
        <c:crossBetween val="midCat"/>
      </c:valAx>
    </c:plotArea>
    <c:plotVisOnly val="1"/>
    <c:dispBlanksAs val="gap"/>
    <c:showDLblsOverMax val="0"/>
    <c:extLst/>
  </c:chart>
  <c:txPr>
    <a:bodyPr/>
    <a:lstStyle/>
    <a:p>
      <a:pPr>
        <a:defRPr/>
      </a:pPr>
      <a:endParaRPr lang="en-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Vega </a:t>
            </a:r>
            <a:r>
              <a:rPr lang="el-GR"/>
              <a:t>ν</a:t>
            </a:r>
            <a:endParaRPr lang="en-GB"/>
          </a:p>
        </c:rich>
      </c:tx>
      <c:overlay val="0"/>
      <c:spPr>
        <a:noFill/>
        <a:ln>
          <a:noFill/>
        </a:ln>
        <a:effectLst/>
      </c:spPr>
    </c:title>
    <c:autoTitleDeleted val="0"/>
    <c:plotArea>
      <c:layout/>
      <c:scatterChart>
        <c:scatterStyle val="smoothMarker"/>
        <c:varyColors val="0"/>
        <c:ser>
          <c:idx val="1"/>
          <c:order val="0"/>
          <c:xVal>
            <c:numRef>
              <c:f>'Option Strategy'!$U$3:$DQ$3</c:f>
              <c:numCache>
                <c:formatCode>General</c:formatCode>
                <c:ptCount val="101"/>
                <c:pt idx="0">
                  <c:v>60</c:v>
                </c:pt>
                <c:pt idx="1">
                  <c:v>60.8</c:v>
                </c:pt>
                <c:pt idx="2">
                  <c:v>61.6</c:v>
                </c:pt>
                <c:pt idx="3">
                  <c:v>62.4</c:v>
                </c:pt>
                <c:pt idx="4">
                  <c:v>63.2</c:v>
                </c:pt>
                <c:pt idx="5">
                  <c:v>64</c:v>
                </c:pt>
                <c:pt idx="6">
                  <c:v>64.8</c:v>
                </c:pt>
                <c:pt idx="7">
                  <c:v>65.599999999999994</c:v>
                </c:pt>
                <c:pt idx="8">
                  <c:v>66.400000000000006</c:v>
                </c:pt>
                <c:pt idx="9">
                  <c:v>67.2</c:v>
                </c:pt>
                <c:pt idx="10">
                  <c:v>68</c:v>
                </c:pt>
                <c:pt idx="11">
                  <c:v>68.8</c:v>
                </c:pt>
                <c:pt idx="12">
                  <c:v>69.599999999999994</c:v>
                </c:pt>
                <c:pt idx="13">
                  <c:v>70.400000000000006</c:v>
                </c:pt>
                <c:pt idx="14">
                  <c:v>71.2</c:v>
                </c:pt>
                <c:pt idx="15">
                  <c:v>72</c:v>
                </c:pt>
                <c:pt idx="16">
                  <c:v>72.8</c:v>
                </c:pt>
                <c:pt idx="17">
                  <c:v>73.599999999999994</c:v>
                </c:pt>
                <c:pt idx="18">
                  <c:v>74.400000000000006</c:v>
                </c:pt>
                <c:pt idx="19">
                  <c:v>75.2</c:v>
                </c:pt>
                <c:pt idx="20">
                  <c:v>76</c:v>
                </c:pt>
                <c:pt idx="21">
                  <c:v>76.8</c:v>
                </c:pt>
                <c:pt idx="22">
                  <c:v>77.599999999999994</c:v>
                </c:pt>
                <c:pt idx="23">
                  <c:v>78.400000000000006</c:v>
                </c:pt>
                <c:pt idx="24">
                  <c:v>79.2</c:v>
                </c:pt>
                <c:pt idx="25">
                  <c:v>80</c:v>
                </c:pt>
                <c:pt idx="26">
                  <c:v>80.8</c:v>
                </c:pt>
                <c:pt idx="27">
                  <c:v>81.599999999999994</c:v>
                </c:pt>
                <c:pt idx="28">
                  <c:v>82.4</c:v>
                </c:pt>
                <c:pt idx="29">
                  <c:v>83.2</c:v>
                </c:pt>
                <c:pt idx="30">
                  <c:v>84</c:v>
                </c:pt>
                <c:pt idx="31">
                  <c:v>84.8</c:v>
                </c:pt>
                <c:pt idx="32">
                  <c:v>85.6</c:v>
                </c:pt>
                <c:pt idx="33">
                  <c:v>86.4</c:v>
                </c:pt>
                <c:pt idx="34">
                  <c:v>87.2</c:v>
                </c:pt>
                <c:pt idx="35">
                  <c:v>88</c:v>
                </c:pt>
                <c:pt idx="36">
                  <c:v>88.8</c:v>
                </c:pt>
                <c:pt idx="37">
                  <c:v>89.6</c:v>
                </c:pt>
                <c:pt idx="38">
                  <c:v>90.4</c:v>
                </c:pt>
                <c:pt idx="39">
                  <c:v>91.2</c:v>
                </c:pt>
                <c:pt idx="40">
                  <c:v>92</c:v>
                </c:pt>
                <c:pt idx="41">
                  <c:v>92.8</c:v>
                </c:pt>
                <c:pt idx="42">
                  <c:v>93.6</c:v>
                </c:pt>
                <c:pt idx="43">
                  <c:v>94.4</c:v>
                </c:pt>
                <c:pt idx="44">
                  <c:v>95.2</c:v>
                </c:pt>
                <c:pt idx="45">
                  <c:v>96</c:v>
                </c:pt>
                <c:pt idx="46">
                  <c:v>96.8</c:v>
                </c:pt>
                <c:pt idx="47">
                  <c:v>97.6</c:v>
                </c:pt>
                <c:pt idx="48">
                  <c:v>98.4</c:v>
                </c:pt>
                <c:pt idx="49">
                  <c:v>99.2</c:v>
                </c:pt>
                <c:pt idx="50">
                  <c:v>100</c:v>
                </c:pt>
                <c:pt idx="51">
                  <c:v>100.8</c:v>
                </c:pt>
                <c:pt idx="52">
                  <c:v>101.6</c:v>
                </c:pt>
                <c:pt idx="53">
                  <c:v>102.4</c:v>
                </c:pt>
                <c:pt idx="54">
                  <c:v>103.2</c:v>
                </c:pt>
                <c:pt idx="55">
                  <c:v>104</c:v>
                </c:pt>
                <c:pt idx="56">
                  <c:v>104.8</c:v>
                </c:pt>
                <c:pt idx="57">
                  <c:v>105.6</c:v>
                </c:pt>
                <c:pt idx="58">
                  <c:v>106.4</c:v>
                </c:pt>
                <c:pt idx="59">
                  <c:v>107.2</c:v>
                </c:pt>
                <c:pt idx="60">
                  <c:v>108</c:v>
                </c:pt>
                <c:pt idx="61">
                  <c:v>108.8</c:v>
                </c:pt>
                <c:pt idx="62">
                  <c:v>109.6</c:v>
                </c:pt>
                <c:pt idx="63">
                  <c:v>110.4</c:v>
                </c:pt>
                <c:pt idx="64">
                  <c:v>111.2</c:v>
                </c:pt>
                <c:pt idx="65">
                  <c:v>112</c:v>
                </c:pt>
                <c:pt idx="66">
                  <c:v>112.8</c:v>
                </c:pt>
                <c:pt idx="67">
                  <c:v>113.6</c:v>
                </c:pt>
                <c:pt idx="68">
                  <c:v>114.4</c:v>
                </c:pt>
                <c:pt idx="69">
                  <c:v>115.2</c:v>
                </c:pt>
                <c:pt idx="70">
                  <c:v>116</c:v>
                </c:pt>
                <c:pt idx="71">
                  <c:v>116.8</c:v>
                </c:pt>
                <c:pt idx="72">
                  <c:v>117.6</c:v>
                </c:pt>
                <c:pt idx="73">
                  <c:v>118.4</c:v>
                </c:pt>
                <c:pt idx="74">
                  <c:v>119.2</c:v>
                </c:pt>
                <c:pt idx="75">
                  <c:v>120</c:v>
                </c:pt>
                <c:pt idx="76">
                  <c:v>120.8</c:v>
                </c:pt>
                <c:pt idx="77">
                  <c:v>121.6</c:v>
                </c:pt>
                <c:pt idx="78">
                  <c:v>122.4</c:v>
                </c:pt>
                <c:pt idx="79">
                  <c:v>123.2</c:v>
                </c:pt>
                <c:pt idx="80">
                  <c:v>124</c:v>
                </c:pt>
                <c:pt idx="81">
                  <c:v>124.8</c:v>
                </c:pt>
                <c:pt idx="82">
                  <c:v>125.6</c:v>
                </c:pt>
                <c:pt idx="83">
                  <c:v>126.4</c:v>
                </c:pt>
                <c:pt idx="84">
                  <c:v>127.2</c:v>
                </c:pt>
                <c:pt idx="85">
                  <c:v>128</c:v>
                </c:pt>
                <c:pt idx="86">
                  <c:v>128.80000000000001</c:v>
                </c:pt>
                <c:pt idx="87">
                  <c:v>129.6</c:v>
                </c:pt>
                <c:pt idx="88">
                  <c:v>130.4</c:v>
                </c:pt>
                <c:pt idx="89">
                  <c:v>131.19999999999999</c:v>
                </c:pt>
                <c:pt idx="90">
                  <c:v>132</c:v>
                </c:pt>
                <c:pt idx="91">
                  <c:v>132.80000000000001</c:v>
                </c:pt>
                <c:pt idx="92">
                  <c:v>133.6</c:v>
                </c:pt>
                <c:pt idx="93">
                  <c:v>134.4</c:v>
                </c:pt>
                <c:pt idx="94">
                  <c:v>135.19999999999999</c:v>
                </c:pt>
                <c:pt idx="95">
                  <c:v>136</c:v>
                </c:pt>
                <c:pt idx="96">
                  <c:v>136.80000000000001</c:v>
                </c:pt>
                <c:pt idx="97">
                  <c:v>137.6</c:v>
                </c:pt>
                <c:pt idx="98">
                  <c:v>138.4</c:v>
                </c:pt>
                <c:pt idx="99">
                  <c:v>139.19999999999999</c:v>
                </c:pt>
                <c:pt idx="100">
                  <c:v>140</c:v>
                </c:pt>
              </c:numCache>
            </c:numRef>
          </c:xVal>
          <c:yVal>
            <c:numRef>
              <c:f>'Option Strategy'!$U$7:$DQ$7</c:f>
              <c:numCache>
                <c:formatCode>General</c:formatCode>
                <c:ptCount val="101"/>
                <c:pt idx="0">
                  <c:v>-5.1488766734473223E-7</c:v>
                </c:pt>
                <c:pt idx="1">
                  <c:v>-1.0033689316994403E-6</c:v>
                </c:pt>
                <c:pt idx="2">
                  <c:v>-1.9047897496925133E-6</c:v>
                </c:pt>
                <c:pt idx="3">
                  <c:v>-3.5258351285471398E-6</c:v>
                </c:pt>
                <c:pt idx="4">
                  <c:v>-6.3691057770771171E-6</c:v>
                </c:pt>
                <c:pt idx="5">
                  <c:v>-1.1237066898087814E-5</c:v>
                </c:pt>
                <c:pt idx="6">
                  <c:v>-1.9378784988768787E-5</c:v>
                </c:pt>
                <c:pt idx="7">
                  <c:v>-3.2690800759120057E-5</c:v>
                </c:pt>
                <c:pt idx="8">
                  <c:v>-5.398368096924478E-5</c:v>
                </c:pt>
                <c:pt idx="9">
                  <c:v>-8.7324617143909157E-5</c:v>
                </c:pt>
                <c:pt idx="10">
                  <c:v>-1.38463410731832E-4</c:v>
                </c:pt>
                <c:pt idx="11">
                  <c:v>-2.153438897342963E-4</c:v>
                </c:pt>
                <c:pt idx="12">
                  <c:v>-3.2869499275835375E-4</c:v>
                </c:pt>
                <c:pt idx="13">
                  <c:v>-4.9268544183152794E-4</c:v>
                </c:pt>
                <c:pt idx="14">
                  <c:v>-7.256134436249772E-4</c:v>
                </c:pt>
                <c:pt idx="15">
                  <c:v>-1.0505889033293981E-3</c:v>
                </c:pt>
                <c:pt idx="16">
                  <c:v>-1.4961512074043947E-3</c:v>
                </c:pt>
                <c:pt idx="17">
                  <c:v>-2.0967519024442357E-3</c:v>
                </c:pt>
                <c:pt idx="18">
                  <c:v>-2.8930196864470946E-3</c:v>
                </c:pt>
                <c:pt idx="19">
                  <c:v>-3.9317158354518185E-3</c:v>
                </c:pt>
                <c:pt idx="20">
                  <c:v>-5.2652817811852277E-3</c:v>
                </c:pt>
                <c:pt idx="21">
                  <c:v>-6.9508767716304799E-3</c:v>
                </c:pt>
                <c:pt idx="22">
                  <c:v>-9.0488019945975662E-3</c:v>
                </c:pt>
                <c:pt idx="23">
                  <c:v>-1.1620208646904441E-2</c:v>
                </c:pt>
                <c:pt idx="24">
                  <c:v>-1.4723993871655456E-2</c:v>
                </c:pt>
                <c:pt idx="25">
                  <c:v>-1.8412806787204711E-2</c:v>
                </c:pt>
                <c:pt idx="26">
                  <c:v>-2.2728128288226315E-2</c:v>
                </c:pt>
                <c:pt idx="27">
                  <c:v>-2.7694468150614691E-2</c:v>
                </c:pt>
                <c:pt idx="28">
                  <c:v>-3.3312856756326385E-2</c:v>
                </c:pt>
                <c:pt idx="29">
                  <c:v>-3.9554005449970356E-2</c:v>
                </c:pt>
                <c:pt idx="30">
                  <c:v>-4.6351762435357026E-2</c:v>
                </c:pt>
                <c:pt idx="31">
                  <c:v>-5.3597769102257095E-2</c:v>
                </c:pt>
                <c:pt idx="32">
                  <c:v>-6.1138465024957005E-2</c:v>
                </c:pt>
                <c:pt idx="33">
                  <c:v>-6.8775714913944477E-2</c:v>
                </c:pt>
                <c:pt idx="34">
                  <c:v>-7.6272245946673006E-2</c:v>
                </c:pt>
                <c:pt idx="35">
                  <c:v>-8.3362716053248728E-2</c:v>
                </c:pt>
                <c:pt idx="36">
                  <c:v>-8.977055916369818E-2</c:v>
                </c:pt>
                <c:pt idx="37">
                  <c:v>-9.5229823409263101E-2</c:v>
                </c:pt>
                <c:pt idx="38">
                  <c:v>-9.9510168498307836E-2</c:v>
                </c:pt>
                <c:pt idx="39">
                  <c:v>-0.10244222426331651</c:v>
                </c:pt>
                <c:pt idx="40">
                  <c:v>-0.10393986846017818</c:v>
                </c:pt>
                <c:pt idx="41">
                  <c:v>-0.10401586462611476</c:v>
                </c:pt>
                <c:pt idx="42">
                  <c:v>-0.10278782770322564</c:v>
                </c:pt>
                <c:pt idx="43">
                  <c:v>-0.10047264057982716</c:v>
                </c:pt>
                <c:pt idx="44">
                  <c:v>-9.7369067093335385E-2</c:v>
                </c:pt>
                <c:pt idx="45">
                  <c:v>-9.3830114551945357E-2</c:v>
                </c:pt>
                <c:pt idx="46">
                  <c:v>-9.0228349087542209E-2</c:v>
                </c:pt>
                <c:pt idx="47">
                  <c:v>-8.6918535568878311E-2</c:v>
                </c:pt>
                <c:pt idx="48">
                  <c:v>-8.4202429417771618E-2</c:v>
                </c:pt>
                <c:pt idx="49">
                  <c:v>-8.2300205876162658E-2</c:v>
                </c:pt>
                <c:pt idx="50">
                  <c:v>-8.1331950955693982E-2</c:v>
                </c:pt>
                <c:pt idx="51">
                  <c:v>-8.1311074626634353E-2</c:v>
                </c:pt>
                <c:pt idx="52">
                  <c:v>-8.2149742837524201E-2</c:v>
                </c:pt>
                <c:pt idx="53">
                  <c:v>-8.3674778065489716E-2</c:v>
                </c:pt>
                <c:pt idx="54">
                  <c:v>-8.5651214472685033E-2</c:v>
                </c:pt>
                <c:pt idx="55">
                  <c:v>-8.7809980562996395E-2</c:v>
                </c:pt>
                <c:pt idx="56">
                  <c:v>-8.987606720517291E-2</c:v>
                </c:pt>
                <c:pt idx="57">
                  <c:v>-9.1593957927493308E-2</c:v>
                </c:pt>
                <c:pt idx="58">
                  <c:v>-9.2747905194599287E-2</c:v>
                </c:pt>
                <c:pt idx="59">
                  <c:v>-9.3175643608998535E-2</c:v>
                </c:pt>
                <c:pt idx="60">
                  <c:v>-9.2775151955762136E-2</c:v>
                </c:pt>
                <c:pt idx="61">
                  <c:v>-9.1504957984675311E-2</c:v>
                </c:pt>
                <c:pt idx="62">
                  <c:v>-8.9379123730637708E-2</c:v>
                </c:pt>
                <c:pt idx="63">
                  <c:v>-8.6458414841210807E-2</c:v>
                </c:pt>
                <c:pt idx="64">
                  <c:v>-8.2839256652246576E-2</c:v>
                </c:pt>
                <c:pt idx="65">
                  <c:v>-7.8641961853785983E-2</c:v>
                </c:pt>
                <c:pt idx="66">
                  <c:v>-7.3999448598468867E-2</c:v>
                </c:pt>
                <c:pt idx="67">
                  <c:v>-6.9047326443400267E-2</c:v>
                </c:pt>
                <c:pt idx="68">
                  <c:v>-6.3915874349852353E-2</c:v>
                </c:pt>
                <c:pt idx="69">
                  <c:v>-5.8724117667927088E-2</c:v>
                </c:pt>
                <c:pt idx="70">
                  <c:v>-5.3575958515479666E-2</c:v>
                </c:pt>
                <c:pt idx="71">
                  <c:v>-4.8558137796094657E-2</c:v>
                </c:pt>
                <c:pt idx="72">
                  <c:v>-4.3739705218335437E-2</c:v>
                </c:pt>
                <c:pt idx="73">
                  <c:v>-3.9172635011855562E-2</c:v>
                </c:pt>
                <c:pt idx="74">
                  <c:v>-3.4893234030048285E-2</c:v>
                </c:pt>
                <c:pt idx="75">
                  <c:v>-3.0924029201828827E-2</c:v>
                </c:pt>
                <c:pt idx="76">
                  <c:v>-2.727587815546987E-2</c:v>
                </c:pt>
                <c:pt idx="77">
                  <c:v>-2.3950108660852086E-2</c:v>
                </c:pt>
                <c:pt idx="78">
                  <c:v>-2.0940551200762884E-2</c:v>
                </c:pt>
                <c:pt idx="79">
                  <c:v>-1.8235379641837062E-2</c:v>
                </c:pt>
                <c:pt idx="80">
                  <c:v>-1.5818715463369527E-2</c:v>
                </c:pt>
                <c:pt idx="81">
                  <c:v>-1.3671981086145018E-2</c:v>
                </c:pt>
                <c:pt idx="82">
                  <c:v>-1.1775008513058821E-2</c:v>
                </c:pt>
                <c:pt idx="83">
                  <c:v>-1.0106922362579672E-2</c:v>
                </c:pt>
                <c:pt idx="84">
                  <c:v>-8.6468232442388233E-3</c:v>
                </c:pt>
                <c:pt idx="85">
                  <c:v>-7.3742999925619059E-3</c:v>
                </c:pt>
                <c:pt idx="86">
                  <c:v>-6.2697989894384288E-3</c:v>
                </c:pt>
                <c:pt idx="87">
                  <c:v>-5.3148768015268359E-3</c:v>
                </c:pt>
                <c:pt idx="88">
                  <c:v>-4.4923594704466517E-3</c:v>
                </c:pt>
                <c:pt idx="89">
                  <c:v>-3.7864285859092565E-3</c:v>
                </c:pt>
                <c:pt idx="90">
                  <c:v>-3.1826511019768184E-3</c:v>
                </c:pt>
                <c:pt idx="91">
                  <c:v>-2.6679669256623427E-3</c:v>
                </c:pt>
                <c:pt idx="92">
                  <c:v>-2.2306457098966296E-3</c:v>
                </c:pt>
                <c:pt idx="93">
                  <c:v>-1.8602220463999589E-3</c:v>
                </c:pt>
                <c:pt idx="94">
                  <c:v>-1.547416365658458E-3</c:v>
                </c:pt>
                <c:pt idx="95">
                  <c:v>-1.2840472785173227E-3</c:v>
                </c:pt>
                <c:pt idx="96">
                  <c:v>-1.0629397967773188E-3</c:v>
                </c:pt>
                <c:pt idx="97">
                  <c:v>-8.7783280812226132E-4</c:v>
                </c:pt>
                <c:pt idx="98">
                  <c:v>-7.232883164788982E-4</c:v>
                </c:pt>
                <c:pt idx="99">
                  <c:v>-5.9460425998220676E-4</c:v>
                </c:pt>
                <c:pt idx="100">
                  <c:v>-4.877321574656377E-4</c:v>
                </c:pt>
              </c:numCache>
            </c:numRef>
          </c:yVal>
          <c:smooth val="1"/>
          <c:extLst>
            <c:ext xmlns:c16="http://schemas.microsoft.com/office/drawing/2014/chart" uri="{C3380CC4-5D6E-409C-BE32-E72D297353CC}">
              <c16:uniqueId val="{00000004-D951-DA4E-9758-D74F89AD1CDE}"/>
            </c:ext>
          </c:extLst>
        </c:ser>
        <c:dLbls>
          <c:showLegendKey val="0"/>
          <c:showVal val="0"/>
          <c:showCatName val="0"/>
          <c:showSerName val="0"/>
          <c:showPercent val="0"/>
          <c:showBubbleSize val="0"/>
        </c:dLbls>
        <c:axId val="1075388607"/>
        <c:axId val="1075390239"/>
      </c:scatterChart>
      <c:scatterChart>
        <c:scatterStyle val="smoothMarker"/>
        <c:varyColors val="0"/>
        <c:ser>
          <c:idx val="0"/>
          <c:order val="1"/>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'Option Strategy'!$U$3:$DQ$3</c:f>
              <c:numCache>
                <c:formatCode>General</c:formatCode>
                <c:ptCount val="101"/>
                <c:pt idx="0">
                  <c:v>60</c:v>
                </c:pt>
                <c:pt idx="1">
                  <c:v>60.8</c:v>
                </c:pt>
                <c:pt idx="2">
                  <c:v>61.6</c:v>
                </c:pt>
                <c:pt idx="3">
                  <c:v>62.4</c:v>
                </c:pt>
                <c:pt idx="4">
                  <c:v>63.2</c:v>
                </c:pt>
                <c:pt idx="5">
                  <c:v>64</c:v>
                </c:pt>
                <c:pt idx="6">
                  <c:v>64.8</c:v>
                </c:pt>
                <c:pt idx="7">
                  <c:v>65.599999999999994</c:v>
                </c:pt>
                <c:pt idx="8">
                  <c:v>66.400000000000006</c:v>
                </c:pt>
                <c:pt idx="9">
                  <c:v>67.2</c:v>
                </c:pt>
                <c:pt idx="10">
                  <c:v>68</c:v>
                </c:pt>
                <c:pt idx="11">
                  <c:v>68.8</c:v>
                </c:pt>
                <c:pt idx="12">
                  <c:v>69.599999999999994</c:v>
                </c:pt>
                <c:pt idx="13">
                  <c:v>70.400000000000006</c:v>
                </c:pt>
                <c:pt idx="14">
                  <c:v>71.2</c:v>
                </c:pt>
                <c:pt idx="15">
                  <c:v>72</c:v>
                </c:pt>
                <c:pt idx="16">
                  <c:v>72.8</c:v>
                </c:pt>
                <c:pt idx="17">
                  <c:v>73.599999999999994</c:v>
                </c:pt>
                <c:pt idx="18">
                  <c:v>74.400000000000006</c:v>
                </c:pt>
                <c:pt idx="19">
                  <c:v>75.2</c:v>
                </c:pt>
                <c:pt idx="20">
                  <c:v>76</c:v>
                </c:pt>
                <c:pt idx="21">
                  <c:v>76.8</c:v>
                </c:pt>
                <c:pt idx="22">
                  <c:v>77.599999999999994</c:v>
                </c:pt>
                <c:pt idx="23">
                  <c:v>78.400000000000006</c:v>
                </c:pt>
                <c:pt idx="24">
                  <c:v>79.2</c:v>
                </c:pt>
                <c:pt idx="25">
                  <c:v>80</c:v>
                </c:pt>
                <c:pt idx="26">
                  <c:v>80.8</c:v>
                </c:pt>
                <c:pt idx="27">
                  <c:v>81.599999999999994</c:v>
                </c:pt>
                <c:pt idx="28">
                  <c:v>82.4</c:v>
                </c:pt>
                <c:pt idx="29">
                  <c:v>83.2</c:v>
                </c:pt>
                <c:pt idx="30">
                  <c:v>84</c:v>
                </c:pt>
                <c:pt idx="31">
                  <c:v>84.8</c:v>
                </c:pt>
                <c:pt idx="32">
                  <c:v>85.6</c:v>
                </c:pt>
                <c:pt idx="33">
                  <c:v>86.4</c:v>
                </c:pt>
                <c:pt idx="34">
                  <c:v>87.2</c:v>
                </c:pt>
                <c:pt idx="35">
                  <c:v>88</c:v>
                </c:pt>
                <c:pt idx="36">
                  <c:v>88.8</c:v>
                </c:pt>
                <c:pt idx="37">
                  <c:v>89.6</c:v>
                </c:pt>
                <c:pt idx="38">
                  <c:v>90.4</c:v>
                </c:pt>
                <c:pt idx="39">
                  <c:v>91.2</c:v>
                </c:pt>
                <c:pt idx="40">
                  <c:v>92</c:v>
                </c:pt>
                <c:pt idx="41">
                  <c:v>92.8</c:v>
                </c:pt>
                <c:pt idx="42">
                  <c:v>93.6</c:v>
                </c:pt>
                <c:pt idx="43">
                  <c:v>94.4</c:v>
                </c:pt>
                <c:pt idx="44">
                  <c:v>95.2</c:v>
                </c:pt>
                <c:pt idx="45">
                  <c:v>96</c:v>
                </c:pt>
                <c:pt idx="46">
                  <c:v>96.8</c:v>
                </c:pt>
                <c:pt idx="47">
                  <c:v>97.6</c:v>
                </c:pt>
                <c:pt idx="48">
                  <c:v>98.4</c:v>
                </c:pt>
                <c:pt idx="49">
                  <c:v>99.2</c:v>
                </c:pt>
                <c:pt idx="50">
                  <c:v>100</c:v>
                </c:pt>
                <c:pt idx="51">
                  <c:v>100.8</c:v>
                </c:pt>
                <c:pt idx="52">
                  <c:v>101.6</c:v>
                </c:pt>
                <c:pt idx="53">
                  <c:v>102.4</c:v>
                </c:pt>
                <c:pt idx="54">
                  <c:v>103.2</c:v>
                </c:pt>
                <c:pt idx="55">
                  <c:v>104</c:v>
                </c:pt>
                <c:pt idx="56">
                  <c:v>104.8</c:v>
                </c:pt>
                <c:pt idx="57">
                  <c:v>105.6</c:v>
                </c:pt>
                <c:pt idx="58">
                  <c:v>106.4</c:v>
                </c:pt>
                <c:pt idx="59">
                  <c:v>107.2</c:v>
                </c:pt>
                <c:pt idx="60">
                  <c:v>108</c:v>
                </c:pt>
                <c:pt idx="61">
                  <c:v>108.8</c:v>
                </c:pt>
                <c:pt idx="62">
                  <c:v>109.6</c:v>
                </c:pt>
                <c:pt idx="63">
                  <c:v>110.4</c:v>
                </c:pt>
                <c:pt idx="64">
                  <c:v>111.2</c:v>
                </c:pt>
                <c:pt idx="65">
                  <c:v>112</c:v>
                </c:pt>
                <c:pt idx="66">
                  <c:v>112.8</c:v>
                </c:pt>
                <c:pt idx="67">
                  <c:v>113.6</c:v>
                </c:pt>
                <c:pt idx="68">
                  <c:v>114.4</c:v>
                </c:pt>
                <c:pt idx="69">
                  <c:v>115.2</c:v>
                </c:pt>
                <c:pt idx="70">
                  <c:v>116</c:v>
                </c:pt>
                <c:pt idx="71">
                  <c:v>116.8</c:v>
                </c:pt>
                <c:pt idx="72">
                  <c:v>117.6</c:v>
                </c:pt>
                <c:pt idx="73">
                  <c:v>118.4</c:v>
                </c:pt>
                <c:pt idx="74">
                  <c:v>119.2</c:v>
                </c:pt>
                <c:pt idx="75">
                  <c:v>120</c:v>
                </c:pt>
                <c:pt idx="76">
                  <c:v>120.8</c:v>
                </c:pt>
                <c:pt idx="77">
                  <c:v>121.6</c:v>
                </c:pt>
                <c:pt idx="78">
                  <c:v>122.4</c:v>
                </c:pt>
                <c:pt idx="79">
                  <c:v>123.2</c:v>
                </c:pt>
                <c:pt idx="80">
                  <c:v>124</c:v>
                </c:pt>
                <c:pt idx="81">
                  <c:v>124.8</c:v>
                </c:pt>
                <c:pt idx="82">
                  <c:v>125.6</c:v>
                </c:pt>
                <c:pt idx="83">
                  <c:v>126.4</c:v>
                </c:pt>
                <c:pt idx="84">
                  <c:v>127.2</c:v>
                </c:pt>
                <c:pt idx="85">
                  <c:v>128</c:v>
                </c:pt>
                <c:pt idx="86">
                  <c:v>128.80000000000001</c:v>
                </c:pt>
                <c:pt idx="87">
                  <c:v>129.6</c:v>
                </c:pt>
                <c:pt idx="88">
                  <c:v>130.4</c:v>
                </c:pt>
                <c:pt idx="89">
                  <c:v>131.19999999999999</c:v>
                </c:pt>
                <c:pt idx="90">
                  <c:v>132</c:v>
                </c:pt>
                <c:pt idx="91">
                  <c:v>132.80000000000001</c:v>
                </c:pt>
                <c:pt idx="92">
                  <c:v>133.6</c:v>
                </c:pt>
                <c:pt idx="93">
                  <c:v>134.4</c:v>
                </c:pt>
                <c:pt idx="94">
                  <c:v>135.19999999999999</c:v>
                </c:pt>
                <c:pt idx="95">
                  <c:v>136</c:v>
                </c:pt>
                <c:pt idx="96">
                  <c:v>136.80000000000001</c:v>
                </c:pt>
                <c:pt idx="97">
                  <c:v>137.6</c:v>
                </c:pt>
                <c:pt idx="98">
                  <c:v>138.4</c:v>
                </c:pt>
                <c:pt idx="99">
                  <c:v>139.19999999999999</c:v>
                </c:pt>
                <c:pt idx="100">
                  <c:v>140</c:v>
                </c:pt>
              </c:numCache>
            </c:numRef>
          </c:xVal>
          <c:yVal>
            <c:numRef>
              <c:f>'Option Strategy'!$U$4:$DQ$4</c:f>
              <c:numCache>
                <c:formatCode>General</c:formatCode>
                <c:ptCount val="101"/>
                <c:pt idx="0">
                  <c:v>-1005.3046663074276</c:v>
                </c:pt>
                <c:pt idx="1">
                  <c:v>-982.90466630742776</c:v>
                </c:pt>
                <c:pt idx="2">
                  <c:v>-960.50466630742767</c:v>
                </c:pt>
                <c:pt idx="3">
                  <c:v>-938.10466630742758</c:v>
                </c:pt>
                <c:pt idx="4">
                  <c:v>-915.70466630742749</c:v>
                </c:pt>
                <c:pt idx="5">
                  <c:v>-893.30466630742762</c:v>
                </c:pt>
                <c:pt idx="6">
                  <c:v>-870.90466630742776</c:v>
                </c:pt>
                <c:pt idx="7">
                  <c:v>-848.50466630742767</c:v>
                </c:pt>
                <c:pt idx="8">
                  <c:v>-826.10466630742735</c:v>
                </c:pt>
                <c:pt idx="9">
                  <c:v>-803.70466630742749</c:v>
                </c:pt>
                <c:pt idx="10">
                  <c:v>-781.30466630742762</c:v>
                </c:pt>
                <c:pt idx="11">
                  <c:v>-758.90466630742776</c:v>
                </c:pt>
                <c:pt idx="12">
                  <c:v>-736.50466630742767</c:v>
                </c:pt>
                <c:pt idx="13">
                  <c:v>-714.10466630742735</c:v>
                </c:pt>
                <c:pt idx="14">
                  <c:v>-691.70466630742749</c:v>
                </c:pt>
                <c:pt idx="15">
                  <c:v>-669.30466630742762</c:v>
                </c:pt>
                <c:pt idx="16">
                  <c:v>-646.90466630742776</c:v>
                </c:pt>
                <c:pt idx="17">
                  <c:v>-624.50466630742767</c:v>
                </c:pt>
                <c:pt idx="18">
                  <c:v>-602.10466630742735</c:v>
                </c:pt>
                <c:pt idx="19">
                  <c:v>-579.70466630742749</c:v>
                </c:pt>
                <c:pt idx="20">
                  <c:v>-557.30466630742762</c:v>
                </c:pt>
                <c:pt idx="21">
                  <c:v>-534.90466630742776</c:v>
                </c:pt>
                <c:pt idx="22">
                  <c:v>-512.50466630742767</c:v>
                </c:pt>
                <c:pt idx="23">
                  <c:v>-490.10466630742741</c:v>
                </c:pt>
                <c:pt idx="24">
                  <c:v>-467.70466630742743</c:v>
                </c:pt>
                <c:pt idx="25">
                  <c:v>-445.30466630742757</c:v>
                </c:pt>
                <c:pt idx="26">
                  <c:v>-422.9046663074277</c:v>
                </c:pt>
                <c:pt idx="27">
                  <c:v>-400.50466630742773</c:v>
                </c:pt>
                <c:pt idx="28">
                  <c:v>-378.10466630742741</c:v>
                </c:pt>
                <c:pt idx="29">
                  <c:v>-355.70466630742749</c:v>
                </c:pt>
                <c:pt idx="30">
                  <c:v>-333.30466630742757</c:v>
                </c:pt>
                <c:pt idx="31">
                  <c:v>-310.90466630742765</c:v>
                </c:pt>
                <c:pt idx="32">
                  <c:v>-288.50466630742773</c:v>
                </c:pt>
                <c:pt idx="33">
                  <c:v>-266.10466630742741</c:v>
                </c:pt>
                <c:pt idx="34">
                  <c:v>-243.70466630742749</c:v>
                </c:pt>
                <c:pt idx="35">
                  <c:v>-221.30466630742757</c:v>
                </c:pt>
                <c:pt idx="36">
                  <c:v>-198.90466630742765</c:v>
                </c:pt>
                <c:pt idx="37">
                  <c:v>-176.50466630742773</c:v>
                </c:pt>
                <c:pt idx="38">
                  <c:v>-154.10466630742741</c:v>
                </c:pt>
                <c:pt idx="39">
                  <c:v>-131.70466630742749</c:v>
                </c:pt>
                <c:pt idx="40">
                  <c:v>-109.30466630742757</c:v>
                </c:pt>
                <c:pt idx="41">
                  <c:v>-86.904666307427647</c:v>
                </c:pt>
                <c:pt idx="42">
                  <c:v>-64.504666307427726</c:v>
                </c:pt>
                <c:pt idx="43">
                  <c:v>-42.104666307427408</c:v>
                </c:pt>
                <c:pt idx="44">
                  <c:v>-19.704666307427487</c:v>
                </c:pt>
                <c:pt idx="45">
                  <c:v>2.6953336925724329</c:v>
                </c:pt>
                <c:pt idx="46">
                  <c:v>25.095333692572353</c:v>
                </c:pt>
                <c:pt idx="47">
                  <c:v>47.495333692572274</c:v>
                </c:pt>
                <c:pt idx="48">
                  <c:v>69.895333692572592</c:v>
                </c:pt>
                <c:pt idx="49">
                  <c:v>92.295333692572513</c:v>
                </c:pt>
                <c:pt idx="50">
                  <c:v>114.69533369257243</c:v>
                </c:pt>
                <c:pt idx="51">
                  <c:v>100.29533369257247</c:v>
                </c:pt>
                <c:pt idx="52">
                  <c:v>85.895333692572535</c:v>
                </c:pt>
                <c:pt idx="53">
                  <c:v>71.495333692572331</c:v>
                </c:pt>
                <c:pt idx="54">
                  <c:v>57.095333692572382</c:v>
                </c:pt>
                <c:pt idx="55">
                  <c:v>42.695333692572419</c:v>
                </c:pt>
                <c:pt idx="56">
                  <c:v>28.29533369257247</c:v>
                </c:pt>
                <c:pt idx="57">
                  <c:v>13.895333692572564</c:v>
                </c:pt>
                <c:pt idx="58">
                  <c:v>-0.50466630742764096</c:v>
                </c:pt>
                <c:pt idx="59">
                  <c:v>-14.904666307427647</c:v>
                </c:pt>
                <c:pt idx="60">
                  <c:v>-29.304666307427624</c:v>
                </c:pt>
                <c:pt idx="61">
                  <c:v>-43.704666307427544</c:v>
                </c:pt>
                <c:pt idx="62">
                  <c:v>-58.104666307427522</c:v>
                </c:pt>
                <c:pt idx="63">
                  <c:v>-72.504666307427726</c:v>
                </c:pt>
                <c:pt idx="64">
                  <c:v>-86.904666307427647</c:v>
                </c:pt>
                <c:pt idx="65">
                  <c:v>-101.30466630742762</c:v>
                </c:pt>
                <c:pt idx="66">
                  <c:v>-115.70466630742766</c:v>
                </c:pt>
                <c:pt idx="67">
                  <c:v>-130.10466630742746</c:v>
                </c:pt>
                <c:pt idx="68">
                  <c:v>-144.50466630742767</c:v>
                </c:pt>
                <c:pt idx="69">
                  <c:v>-158.90466630742759</c:v>
                </c:pt>
                <c:pt idx="70">
                  <c:v>-173.30466630742762</c:v>
                </c:pt>
                <c:pt idx="71">
                  <c:v>-187.70466630742766</c:v>
                </c:pt>
                <c:pt idx="72">
                  <c:v>-202.10466630742746</c:v>
                </c:pt>
                <c:pt idx="73">
                  <c:v>-216.50466630742767</c:v>
                </c:pt>
                <c:pt idx="74">
                  <c:v>-230.90466630742742</c:v>
                </c:pt>
                <c:pt idx="75">
                  <c:v>-245.30466630742751</c:v>
                </c:pt>
                <c:pt idx="76">
                  <c:v>-259.7046663074276</c:v>
                </c:pt>
                <c:pt idx="77">
                  <c:v>-274.10466630742724</c:v>
                </c:pt>
                <c:pt idx="78">
                  <c:v>-288.50466630742778</c:v>
                </c:pt>
                <c:pt idx="79">
                  <c:v>-302.90466630742753</c:v>
                </c:pt>
                <c:pt idx="80">
                  <c:v>-317.30466630742785</c:v>
                </c:pt>
                <c:pt idx="81">
                  <c:v>-331.70466630742749</c:v>
                </c:pt>
                <c:pt idx="82">
                  <c:v>-346.10466630742724</c:v>
                </c:pt>
                <c:pt idx="83">
                  <c:v>-360.50466630742778</c:v>
                </c:pt>
                <c:pt idx="84">
                  <c:v>-374.90466630742753</c:v>
                </c:pt>
                <c:pt idx="85">
                  <c:v>-389.30466630742785</c:v>
                </c:pt>
                <c:pt idx="86">
                  <c:v>-403.70466630742771</c:v>
                </c:pt>
                <c:pt idx="87">
                  <c:v>-418.10466630742724</c:v>
                </c:pt>
                <c:pt idx="88">
                  <c:v>-432.50466630742778</c:v>
                </c:pt>
                <c:pt idx="89">
                  <c:v>-446.90466630742731</c:v>
                </c:pt>
                <c:pt idx="90">
                  <c:v>-461.30466630742785</c:v>
                </c:pt>
                <c:pt idx="91">
                  <c:v>-475.70466630742771</c:v>
                </c:pt>
                <c:pt idx="92">
                  <c:v>-490.10466630742724</c:v>
                </c:pt>
                <c:pt idx="93">
                  <c:v>-504.50466630742778</c:v>
                </c:pt>
                <c:pt idx="94">
                  <c:v>-518.90466630742731</c:v>
                </c:pt>
                <c:pt idx="95">
                  <c:v>-533.30466630742785</c:v>
                </c:pt>
                <c:pt idx="96">
                  <c:v>-547.70466630742771</c:v>
                </c:pt>
                <c:pt idx="97">
                  <c:v>-562.10466630742735</c:v>
                </c:pt>
                <c:pt idx="98">
                  <c:v>-576.50466630742767</c:v>
                </c:pt>
                <c:pt idx="99">
                  <c:v>-590.90466630742731</c:v>
                </c:pt>
                <c:pt idx="100">
                  <c:v>-605.30466630742785</c:v>
                </c:pt>
              </c:numCache>
            </c:numRef>
          </c:yVal>
          <c:smooth val="1"/>
          <c:extLst>
            <c:ext xmlns:c16="http://schemas.microsoft.com/office/drawing/2014/chart" uri="{C3380CC4-5D6E-409C-BE32-E72D297353CC}">
              <c16:uniqueId val="{00000003-D951-DA4E-9758-D74F89AD1CDE}"/>
            </c:ext>
          </c:extLst>
        </c:ser>
        <c:dLbls>
          <c:showLegendKey val="0"/>
          <c:showVal val="0"/>
          <c:showCatName val="0"/>
          <c:showSerName val="0"/>
          <c:showPercent val="0"/>
          <c:showBubbleSize val="0"/>
        </c:dLbls>
        <c:axId val="600175871"/>
        <c:axId val="600168511"/>
      </c:scatterChart>
      <c:valAx>
        <c:axId val="1075388607"/>
        <c:scaling>
          <c:orientation val="minMax"/>
          <c:max val="140"/>
          <c:min val="6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FR"/>
          </a:p>
        </c:txPr>
        <c:crossAx val="1075390239"/>
        <c:crosses val="autoZero"/>
        <c:crossBetween val="midCat"/>
      </c:valAx>
      <c:valAx>
        <c:axId val="10753902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FR"/>
          </a:p>
        </c:txPr>
        <c:crossAx val="1075388607"/>
        <c:crosses val="autoZero"/>
        <c:crossBetween val="midCat"/>
      </c:valAx>
      <c:valAx>
        <c:axId val="600168511"/>
        <c:scaling>
          <c:orientation val="minMax"/>
        </c:scaling>
        <c:delete val="0"/>
        <c:axPos val="r"/>
        <c:numFmt formatCode="General" sourceLinked="1"/>
        <c:majorTickMark val="out"/>
        <c:minorTickMark val="none"/>
        <c:tickLblPos val="nextTo"/>
        <c:crossAx val="600175871"/>
        <c:crosses val="max"/>
        <c:crossBetween val="midCat"/>
      </c:valAx>
      <c:valAx>
        <c:axId val="600175871"/>
        <c:scaling>
          <c:orientation val="minMax"/>
        </c:scaling>
        <c:delete val="1"/>
        <c:axPos val="b"/>
        <c:numFmt formatCode="General" sourceLinked="1"/>
        <c:majorTickMark val="out"/>
        <c:minorTickMark val="none"/>
        <c:tickLblPos val="nextTo"/>
        <c:crossAx val="600168511"/>
        <c:crosses val="autoZero"/>
        <c:crossBetween val="midCat"/>
      </c:valAx>
    </c:plotArea>
    <c:plotVisOnly val="1"/>
    <c:dispBlanksAs val="gap"/>
    <c:showDLblsOverMax val="0"/>
    <c:extLst/>
  </c:chart>
  <c:txPr>
    <a:bodyPr/>
    <a:lstStyle/>
    <a:p>
      <a:pPr>
        <a:defRPr/>
      </a:pPr>
      <a:endParaRPr lang="en-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Theta </a:t>
            </a:r>
            <a:r>
              <a:rPr lang="el-GR"/>
              <a:t>θ</a:t>
            </a:r>
            <a:endParaRPr lang="en-GB"/>
          </a:p>
        </c:rich>
      </c:tx>
      <c:overlay val="0"/>
      <c:spPr>
        <a:noFill/>
        <a:ln>
          <a:noFill/>
        </a:ln>
        <a:effectLst/>
      </c:spPr>
    </c:title>
    <c:autoTitleDeleted val="0"/>
    <c:plotArea>
      <c:layout/>
      <c:scatterChart>
        <c:scatterStyle val="smoothMarker"/>
        <c:varyColors val="0"/>
        <c:ser>
          <c:idx val="1"/>
          <c:order val="0"/>
          <c:xVal>
            <c:numRef>
              <c:f>'Option Strategy'!$U$3:$DQ$3</c:f>
              <c:numCache>
                <c:formatCode>General</c:formatCode>
                <c:ptCount val="101"/>
                <c:pt idx="0">
                  <c:v>60</c:v>
                </c:pt>
                <c:pt idx="1">
                  <c:v>60.8</c:v>
                </c:pt>
                <c:pt idx="2">
                  <c:v>61.6</c:v>
                </c:pt>
                <c:pt idx="3">
                  <c:v>62.4</c:v>
                </c:pt>
                <c:pt idx="4">
                  <c:v>63.2</c:v>
                </c:pt>
                <c:pt idx="5">
                  <c:v>64</c:v>
                </c:pt>
                <c:pt idx="6">
                  <c:v>64.8</c:v>
                </c:pt>
                <c:pt idx="7">
                  <c:v>65.599999999999994</c:v>
                </c:pt>
                <c:pt idx="8">
                  <c:v>66.400000000000006</c:v>
                </c:pt>
                <c:pt idx="9">
                  <c:v>67.2</c:v>
                </c:pt>
                <c:pt idx="10">
                  <c:v>68</c:v>
                </c:pt>
                <c:pt idx="11">
                  <c:v>68.8</c:v>
                </c:pt>
                <c:pt idx="12">
                  <c:v>69.599999999999994</c:v>
                </c:pt>
                <c:pt idx="13">
                  <c:v>70.400000000000006</c:v>
                </c:pt>
                <c:pt idx="14">
                  <c:v>71.2</c:v>
                </c:pt>
                <c:pt idx="15">
                  <c:v>72</c:v>
                </c:pt>
                <c:pt idx="16">
                  <c:v>72.8</c:v>
                </c:pt>
                <c:pt idx="17">
                  <c:v>73.599999999999994</c:v>
                </c:pt>
                <c:pt idx="18">
                  <c:v>74.400000000000006</c:v>
                </c:pt>
                <c:pt idx="19">
                  <c:v>75.2</c:v>
                </c:pt>
                <c:pt idx="20">
                  <c:v>76</c:v>
                </c:pt>
                <c:pt idx="21">
                  <c:v>76.8</c:v>
                </c:pt>
                <c:pt idx="22">
                  <c:v>77.599999999999994</c:v>
                </c:pt>
                <c:pt idx="23">
                  <c:v>78.400000000000006</c:v>
                </c:pt>
                <c:pt idx="24">
                  <c:v>79.2</c:v>
                </c:pt>
                <c:pt idx="25">
                  <c:v>80</c:v>
                </c:pt>
                <c:pt idx="26">
                  <c:v>80.8</c:v>
                </c:pt>
                <c:pt idx="27">
                  <c:v>81.599999999999994</c:v>
                </c:pt>
                <c:pt idx="28">
                  <c:v>82.4</c:v>
                </c:pt>
                <c:pt idx="29">
                  <c:v>83.2</c:v>
                </c:pt>
                <c:pt idx="30">
                  <c:v>84</c:v>
                </c:pt>
                <c:pt idx="31">
                  <c:v>84.8</c:v>
                </c:pt>
                <c:pt idx="32">
                  <c:v>85.6</c:v>
                </c:pt>
                <c:pt idx="33">
                  <c:v>86.4</c:v>
                </c:pt>
                <c:pt idx="34">
                  <c:v>87.2</c:v>
                </c:pt>
                <c:pt idx="35">
                  <c:v>88</c:v>
                </c:pt>
                <c:pt idx="36">
                  <c:v>88.8</c:v>
                </c:pt>
                <c:pt idx="37">
                  <c:v>89.6</c:v>
                </c:pt>
                <c:pt idx="38">
                  <c:v>90.4</c:v>
                </c:pt>
                <c:pt idx="39">
                  <c:v>91.2</c:v>
                </c:pt>
                <c:pt idx="40">
                  <c:v>92</c:v>
                </c:pt>
                <c:pt idx="41">
                  <c:v>92.8</c:v>
                </c:pt>
                <c:pt idx="42">
                  <c:v>93.6</c:v>
                </c:pt>
                <c:pt idx="43">
                  <c:v>94.4</c:v>
                </c:pt>
                <c:pt idx="44">
                  <c:v>95.2</c:v>
                </c:pt>
                <c:pt idx="45">
                  <c:v>96</c:v>
                </c:pt>
                <c:pt idx="46">
                  <c:v>96.8</c:v>
                </c:pt>
                <c:pt idx="47">
                  <c:v>97.6</c:v>
                </c:pt>
                <c:pt idx="48">
                  <c:v>98.4</c:v>
                </c:pt>
                <c:pt idx="49">
                  <c:v>99.2</c:v>
                </c:pt>
                <c:pt idx="50">
                  <c:v>100</c:v>
                </c:pt>
                <c:pt idx="51">
                  <c:v>100.8</c:v>
                </c:pt>
                <c:pt idx="52">
                  <c:v>101.6</c:v>
                </c:pt>
                <c:pt idx="53">
                  <c:v>102.4</c:v>
                </c:pt>
                <c:pt idx="54">
                  <c:v>103.2</c:v>
                </c:pt>
                <c:pt idx="55">
                  <c:v>104</c:v>
                </c:pt>
                <c:pt idx="56">
                  <c:v>104.8</c:v>
                </c:pt>
                <c:pt idx="57">
                  <c:v>105.6</c:v>
                </c:pt>
                <c:pt idx="58">
                  <c:v>106.4</c:v>
                </c:pt>
                <c:pt idx="59">
                  <c:v>107.2</c:v>
                </c:pt>
                <c:pt idx="60">
                  <c:v>108</c:v>
                </c:pt>
                <c:pt idx="61">
                  <c:v>108.8</c:v>
                </c:pt>
                <c:pt idx="62">
                  <c:v>109.6</c:v>
                </c:pt>
                <c:pt idx="63">
                  <c:v>110.4</c:v>
                </c:pt>
                <c:pt idx="64">
                  <c:v>111.2</c:v>
                </c:pt>
                <c:pt idx="65">
                  <c:v>112</c:v>
                </c:pt>
                <c:pt idx="66">
                  <c:v>112.8</c:v>
                </c:pt>
                <c:pt idx="67">
                  <c:v>113.6</c:v>
                </c:pt>
                <c:pt idx="68">
                  <c:v>114.4</c:v>
                </c:pt>
                <c:pt idx="69">
                  <c:v>115.2</c:v>
                </c:pt>
                <c:pt idx="70">
                  <c:v>116</c:v>
                </c:pt>
                <c:pt idx="71">
                  <c:v>116.8</c:v>
                </c:pt>
                <c:pt idx="72">
                  <c:v>117.6</c:v>
                </c:pt>
                <c:pt idx="73">
                  <c:v>118.4</c:v>
                </c:pt>
                <c:pt idx="74">
                  <c:v>119.2</c:v>
                </c:pt>
                <c:pt idx="75">
                  <c:v>120</c:v>
                </c:pt>
                <c:pt idx="76">
                  <c:v>120.8</c:v>
                </c:pt>
                <c:pt idx="77">
                  <c:v>121.6</c:v>
                </c:pt>
                <c:pt idx="78">
                  <c:v>122.4</c:v>
                </c:pt>
                <c:pt idx="79">
                  <c:v>123.2</c:v>
                </c:pt>
                <c:pt idx="80">
                  <c:v>124</c:v>
                </c:pt>
                <c:pt idx="81">
                  <c:v>124.8</c:v>
                </c:pt>
                <c:pt idx="82">
                  <c:v>125.6</c:v>
                </c:pt>
                <c:pt idx="83">
                  <c:v>126.4</c:v>
                </c:pt>
                <c:pt idx="84">
                  <c:v>127.2</c:v>
                </c:pt>
                <c:pt idx="85">
                  <c:v>128</c:v>
                </c:pt>
                <c:pt idx="86">
                  <c:v>128.80000000000001</c:v>
                </c:pt>
                <c:pt idx="87">
                  <c:v>129.6</c:v>
                </c:pt>
                <c:pt idx="88">
                  <c:v>130.4</c:v>
                </c:pt>
                <c:pt idx="89">
                  <c:v>131.19999999999999</c:v>
                </c:pt>
                <c:pt idx="90">
                  <c:v>132</c:v>
                </c:pt>
                <c:pt idx="91">
                  <c:v>132.80000000000001</c:v>
                </c:pt>
                <c:pt idx="92">
                  <c:v>133.6</c:v>
                </c:pt>
                <c:pt idx="93">
                  <c:v>134.4</c:v>
                </c:pt>
                <c:pt idx="94">
                  <c:v>135.19999999999999</c:v>
                </c:pt>
                <c:pt idx="95">
                  <c:v>136</c:v>
                </c:pt>
                <c:pt idx="96">
                  <c:v>136.80000000000001</c:v>
                </c:pt>
                <c:pt idx="97">
                  <c:v>137.6</c:v>
                </c:pt>
                <c:pt idx="98">
                  <c:v>138.4</c:v>
                </c:pt>
                <c:pt idx="99">
                  <c:v>139.19999999999999</c:v>
                </c:pt>
                <c:pt idx="100">
                  <c:v>140</c:v>
                </c:pt>
              </c:numCache>
            </c:numRef>
          </c:xVal>
          <c:yVal>
            <c:numRef>
              <c:f>'Option Strategy'!$U$8:$DQ$8</c:f>
              <c:numCache>
                <c:formatCode>General</c:formatCode>
                <c:ptCount val="101"/>
                <c:pt idx="0">
                  <c:v>5.9913543087134716E-8</c:v>
                </c:pt>
                <c:pt idx="1">
                  <c:v>1.1688702543291374E-7</c:v>
                </c:pt>
                <c:pt idx="2">
                  <c:v>2.2215852049651994E-7</c:v>
                </c:pt>
                <c:pt idx="3">
                  <c:v>4.1172404289558327E-7</c:v>
                </c:pt>
                <c:pt idx="4">
                  <c:v>7.4468048860651264E-7</c:v>
                </c:pt>
                <c:pt idx="5">
                  <c:v>1.3155633741811362E-6</c:v>
                </c:pt>
                <c:pt idx="6">
                  <c:v>2.2718191047548989E-6</c:v>
                </c:pt>
                <c:pt idx="7">
                  <c:v>3.8378096016850975E-6</c:v>
                </c:pt>
                <c:pt idx="8">
                  <c:v>6.3467959524187939E-6</c:v>
                </c:pt>
                <c:pt idx="9">
                  <c:v>1.0282240214049228E-5</c:v>
                </c:pt>
                <c:pt idx="10">
                  <c:v>1.6329441743851739E-5</c:v>
                </c:pt>
                <c:pt idx="11">
                  <c:v>2.543793417488597E-5</c:v>
                </c:pt>
                <c:pt idx="12">
                  <c:v>3.8894175817959642E-5</c:v>
                </c:pt>
                <c:pt idx="13">
                  <c:v>5.8402860358776065E-5</c:v>
                </c:pt>
                <c:pt idx="14">
                  <c:v>8.6173678180936705E-5</c:v>
                </c:pt>
                <c:pt idx="15">
                  <c:v>1.2500862175534639E-4</c:v>
                </c:pt>
                <c:pt idx="16">
                  <c:v>1.7838301356314453E-4</c:v>
                </c:pt>
                <c:pt idx="17">
                  <c:v>2.505113835437718E-4</c:v>
                </c:pt>
                <c:pt idx="18">
                  <c:v>3.4638710902211276E-4</c:v>
                </c:pt>
                <c:pt idx="19">
                  <c:v>4.7178221127457186E-4</c:v>
                </c:pt>
                <c:pt idx="20">
                  <c:v>6.3319060007817449E-4</c:v>
                </c:pt>
                <c:pt idx="21">
                  <c:v>8.3769400845706116E-4</c:v>
                </c:pt>
                <c:pt idx="22">
                  <c:v>1.092724605515568E-3</c:v>
                </c:pt>
                <c:pt idx="23">
                  <c:v>1.4056920211274974E-3</c:v>
                </c:pt>
                <c:pt idx="24">
                  <c:v>1.7834364503277488E-3</c:v>
                </c:pt>
                <c:pt idx="25">
                  <c:v>2.2314663469460002E-3</c:v>
                </c:pt>
                <c:pt idx="26">
                  <c:v>2.7529435285197357E-3</c:v>
                </c:pt>
                <c:pt idx="27">
                  <c:v>3.3473964030149897E-3</c:v>
                </c:pt>
                <c:pt idx="28">
                  <c:v>4.0091798569275054E-3</c:v>
                </c:pt>
                <c:pt idx="29">
                  <c:v>4.7257623281177896E-3</c:v>
                </c:pt>
                <c:pt idx="30">
                  <c:v>5.4760055613331205E-3</c:v>
                </c:pt>
                <c:pt idx="31">
                  <c:v>6.2287008258808283E-3</c:v>
                </c:pt>
                <c:pt idx="32">
                  <c:v>6.9417171082781937E-3</c:v>
                </c:pt>
                <c:pt idx="33">
                  <c:v>7.5621732934102034E-3</c:v>
                </c:pt>
                <c:pt idx="34">
                  <c:v>8.028035381248768E-3</c:v>
                </c:pt>
                <c:pt idx="35">
                  <c:v>8.2714344921479138E-3</c:v>
                </c:pt>
                <c:pt idx="36">
                  <c:v>8.2237909695599114E-3</c:v>
                </c:pt>
                <c:pt idx="37">
                  <c:v>7.822528622733374E-3</c:v>
                </c:pt>
                <c:pt idx="38">
                  <c:v>7.0188143467917047E-3</c:v>
                </c:pt>
                <c:pt idx="39">
                  <c:v>5.7854299099108237E-3</c:v>
                </c:pt>
                <c:pt idx="40">
                  <c:v>4.1236540559533436E-3</c:v>
                </c:pt>
                <c:pt idx="41">
                  <c:v>2.0679758657427515E-3</c:v>
                </c:pt>
                <c:pt idx="42">
                  <c:v>-3.1238227821399692E-4</c:v>
                </c:pt>
                <c:pt idx="43">
                  <c:v>-2.9157827168371023E-3</c:v>
                </c:pt>
                <c:pt idx="44">
                  <c:v>-5.6144477430064843E-3</c:v>
                </c:pt>
                <c:pt idx="45">
                  <c:v>-8.2642025965919269E-3</c:v>
                </c:pt>
                <c:pt idx="46">
                  <c:v>-1.0716634248357684E-2</c:v>
                </c:pt>
                <c:pt idx="47">
                  <c:v>-1.2832205159460753E-2</c:v>
                </c:pt>
                <c:pt idx="48">
                  <c:v>-1.4492687083365971E-2</c:v>
                </c:pt>
                <c:pt idx="49">
                  <c:v>-1.5611373502858465E-2</c:v>
                </c:pt>
                <c:pt idx="50">
                  <c:v>-1.6139868873907046E-2</c:v>
                </c:pt>
                <c:pt idx="51">
                  <c:v>-1.6070769162103298E-2</c:v>
                </c:pt>
                <c:pt idx="52">
                  <c:v>-1.5436141685625949E-2</c:v>
                </c:pt>
                <c:pt idx="53">
                  <c:v>-1.4302276361507632E-2</c:v>
                </c:pt>
                <c:pt idx="54">
                  <c:v>-1.2761623759072312E-2</c:v>
                </c:pt>
                <c:pt idx="55">
                  <c:v>-1.0923098489362244E-2</c:v>
                </c:pt>
                <c:pt idx="56">
                  <c:v>-8.9019895334879126E-3</c:v>
                </c:pt>
                <c:pt idx="57">
                  <c:v>-6.8106000039969208E-3</c:v>
                </c:pt>
                <c:pt idx="58">
                  <c:v>-4.7504838446082095E-3</c:v>
                </c:pt>
                <c:pt idx="59">
                  <c:v>-2.8068173978071168E-3</c:v>
                </c:pt>
                <c:pt idx="60">
                  <c:v>-1.045101981490465E-3</c:v>
                </c:pt>
                <c:pt idx="61">
                  <c:v>4.899082627188335E-4</c:v>
                </c:pt>
                <c:pt idx="62">
                  <c:v>1.7733860458290229E-3</c:v>
                </c:pt>
                <c:pt idx="63">
                  <c:v>2.7981876309344997E-3</c:v>
                </c:pt>
                <c:pt idx="64">
                  <c:v>3.571704310289664E-3</c:v>
                </c:pt>
                <c:pt idx="65">
                  <c:v>4.1123009760303669E-3</c:v>
                </c:pt>
                <c:pt idx="66">
                  <c:v>4.4457568604124066E-3</c:v>
                </c:pt>
                <c:pt idx="67">
                  <c:v>4.6020181028270275E-3</c:v>
                </c:pt>
                <c:pt idx="68">
                  <c:v>4.612459362640639E-3</c:v>
                </c:pt>
                <c:pt idx="69">
                  <c:v>4.5077483700896107E-3</c:v>
                </c:pt>
                <c:pt idx="70">
                  <c:v>4.3163232336816838E-3</c:v>
                </c:pt>
                <c:pt idx="71">
                  <c:v>4.0634319676963043E-3</c:v>
                </c:pt>
                <c:pt idx="72">
                  <c:v>3.7706469842063942E-3</c:v>
                </c:pt>
                <c:pt idx="73">
                  <c:v>3.4557510577688556E-3</c:v>
                </c:pt>
                <c:pt idx="74">
                  <c:v>3.1328907589004001E-3</c:v>
                </c:pt>
                <c:pt idx="75">
                  <c:v>2.8129034099421621E-3</c:v>
                </c:pt>
                <c:pt idx="76">
                  <c:v>2.503739540164451E-3</c:v>
                </c:pt>
                <c:pt idx="77">
                  <c:v>2.2109208312055297E-3</c:v>
                </c:pt>
                <c:pt idx="78">
                  <c:v>1.9379909717379649E-3</c:v>
                </c:pt>
                <c:pt idx="79">
                  <c:v>1.6869320494802657E-3</c:v>
                </c:pt>
                <c:pt idx="80">
                  <c:v>1.4585313319386908E-3</c:v>
                </c:pt>
                <c:pt idx="81">
                  <c:v>1.2526923899916394E-3</c:v>
                </c:pt>
                <c:pt idx="82">
                  <c:v>1.0686907704094105E-3</c:v>
                </c:pt>
                <c:pt idx="83">
                  <c:v>9.0537830619628196E-4</c:v>
                </c:pt>
                <c:pt idx="84">
                  <c:v>7.6134221726508779E-4</c:v>
                </c:pt>
                <c:pt idx="85">
                  <c:v>6.3502592313979637E-4</c:v>
                </c:pt>
                <c:pt idx="86">
                  <c:v>5.2481841198582027E-4</c:v>
                </c:pt>
                <c:pt idx="87">
                  <c:v>4.2911843721633695E-4</c:v>
                </c:pt>
                <c:pt idx="88">
                  <c:v>3.4637899894127133E-4</c:v>
                </c:pt>
                <c:pt idx="89">
                  <c:v>2.7513668355557373E-4</c:v>
                </c:pt>
                <c:pt idx="90">
                  <c:v>2.1402958526644221E-4</c:v>
                </c:pt>
                <c:pt idx="91">
                  <c:v>1.6180677405001377E-4</c:v>
                </c:pt>
                <c:pt idx="92">
                  <c:v>1.173316280239315E-4</c:v>
                </c:pt>
                <c:pt idx="93">
                  <c:v>7.9580816533241297E-5</c:v>
                </c:pt>
                <c:pt idx="94">
                  <c:v>4.7640293957370433E-5</c:v>
                </c:pt>
                <c:pt idx="95">
                  <c:v>2.0699328768270311E-5</c:v>
                </c:pt>
                <c:pt idx="96">
                  <c:v>-1.9566681438206585E-6</c:v>
                </c:pt>
                <c:pt idx="97">
                  <c:v>-2.0953952320285768E-5</c:v>
                </c:pt>
                <c:pt idx="98">
                  <c:v>-3.6838481542688511E-5</c:v>
                </c:pt>
                <c:pt idx="99">
                  <c:v>-5.0083885251732407E-5</c:v>
                </c:pt>
                <c:pt idx="100">
                  <c:v>-6.1099163083748118E-5</c:v>
                </c:pt>
              </c:numCache>
            </c:numRef>
          </c:yVal>
          <c:smooth val="1"/>
          <c:extLst>
            <c:ext xmlns:c16="http://schemas.microsoft.com/office/drawing/2014/chart" uri="{C3380CC4-5D6E-409C-BE32-E72D297353CC}">
              <c16:uniqueId val="{00000007-C0DB-B844-A023-473EBF2F63C1}"/>
            </c:ext>
          </c:extLst>
        </c:ser>
        <c:dLbls>
          <c:showLegendKey val="0"/>
          <c:showVal val="0"/>
          <c:showCatName val="0"/>
          <c:showSerName val="0"/>
          <c:showPercent val="0"/>
          <c:showBubbleSize val="0"/>
        </c:dLbls>
        <c:axId val="1075388607"/>
        <c:axId val="1075390239"/>
      </c:scatterChart>
      <c:scatterChart>
        <c:scatterStyle val="smoothMarker"/>
        <c:varyColors val="0"/>
        <c:ser>
          <c:idx val="0"/>
          <c:order val="1"/>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'Option Strategy'!$U$3:$DQ$3</c:f>
              <c:numCache>
                <c:formatCode>General</c:formatCode>
                <c:ptCount val="101"/>
                <c:pt idx="0">
                  <c:v>60</c:v>
                </c:pt>
                <c:pt idx="1">
                  <c:v>60.8</c:v>
                </c:pt>
                <c:pt idx="2">
                  <c:v>61.6</c:v>
                </c:pt>
                <c:pt idx="3">
                  <c:v>62.4</c:v>
                </c:pt>
                <c:pt idx="4">
                  <c:v>63.2</c:v>
                </c:pt>
                <c:pt idx="5">
                  <c:v>64</c:v>
                </c:pt>
                <c:pt idx="6">
                  <c:v>64.8</c:v>
                </c:pt>
                <c:pt idx="7">
                  <c:v>65.599999999999994</c:v>
                </c:pt>
                <c:pt idx="8">
                  <c:v>66.400000000000006</c:v>
                </c:pt>
                <c:pt idx="9">
                  <c:v>67.2</c:v>
                </c:pt>
                <c:pt idx="10">
                  <c:v>68</c:v>
                </c:pt>
                <c:pt idx="11">
                  <c:v>68.8</c:v>
                </c:pt>
                <c:pt idx="12">
                  <c:v>69.599999999999994</c:v>
                </c:pt>
                <c:pt idx="13">
                  <c:v>70.400000000000006</c:v>
                </c:pt>
                <c:pt idx="14">
                  <c:v>71.2</c:v>
                </c:pt>
                <c:pt idx="15">
                  <c:v>72</c:v>
                </c:pt>
                <c:pt idx="16">
                  <c:v>72.8</c:v>
                </c:pt>
                <c:pt idx="17">
                  <c:v>73.599999999999994</c:v>
                </c:pt>
                <c:pt idx="18">
                  <c:v>74.400000000000006</c:v>
                </c:pt>
                <c:pt idx="19">
                  <c:v>75.2</c:v>
                </c:pt>
                <c:pt idx="20">
                  <c:v>76</c:v>
                </c:pt>
                <c:pt idx="21">
                  <c:v>76.8</c:v>
                </c:pt>
                <c:pt idx="22">
                  <c:v>77.599999999999994</c:v>
                </c:pt>
                <c:pt idx="23">
                  <c:v>78.400000000000006</c:v>
                </c:pt>
                <c:pt idx="24">
                  <c:v>79.2</c:v>
                </c:pt>
                <c:pt idx="25">
                  <c:v>80</c:v>
                </c:pt>
                <c:pt idx="26">
                  <c:v>80.8</c:v>
                </c:pt>
                <c:pt idx="27">
                  <c:v>81.599999999999994</c:v>
                </c:pt>
                <c:pt idx="28">
                  <c:v>82.4</c:v>
                </c:pt>
                <c:pt idx="29">
                  <c:v>83.2</c:v>
                </c:pt>
                <c:pt idx="30">
                  <c:v>84</c:v>
                </c:pt>
                <c:pt idx="31">
                  <c:v>84.8</c:v>
                </c:pt>
                <c:pt idx="32">
                  <c:v>85.6</c:v>
                </c:pt>
                <c:pt idx="33">
                  <c:v>86.4</c:v>
                </c:pt>
                <c:pt idx="34">
                  <c:v>87.2</c:v>
                </c:pt>
                <c:pt idx="35">
                  <c:v>88</c:v>
                </c:pt>
                <c:pt idx="36">
                  <c:v>88.8</c:v>
                </c:pt>
                <c:pt idx="37">
                  <c:v>89.6</c:v>
                </c:pt>
                <c:pt idx="38">
                  <c:v>90.4</c:v>
                </c:pt>
                <c:pt idx="39">
                  <c:v>91.2</c:v>
                </c:pt>
                <c:pt idx="40">
                  <c:v>92</c:v>
                </c:pt>
                <c:pt idx="41">
                  <c:v>92.8</c:v>
                </c:pt>
                <c:pt idx="42">
                  <c:v>93.6</c:v>
                </c:pt>
                <c:pt idx="43">
                  <c:v>94.4</c:v>
                </c:pt>
                <c:pt idx="44">
                  <c:v>95.2</c:v>
                </c:pt>
                <c:pt idx="45">
                  <c:v>96</c:v>
                </c:pt>
                <c:pt idx="46">
                  <c:v>96.8</c:v>
                </c:pt>
                <c:pt idx="47">
                  <c:v>97.6</c:v>
                </c:pt>
                <c:pt idx="48">
                  <c:v>98.4</c:v>
                </c:pt>
                <c:pt idx="49">
                  <c:v>99.2</c:v>
                </c:pt>
                <c:pt idx="50">
                  <c:v>100</c:v>
                </c:pt>
                <c:pt idx="51">
                  <c:v>100.8</c:v>
                </c:pt>
                <c:pt idx="52">
                  <c:v>101.6</c:v>
                </c:pt>
                <c:pt idx="53">
                  <c:v>102.4</c:v>
                </c:pt>
                <c:pt idx="54">
                  <c:v>103.2</c:v>
                </c:pt>
                <c:pt idx="55">
                  <c:v>104</c:v>
                </c:pt>
                <c:pt idx="56">
                  <c:v>104.8</c:v>
                </c:pt>
                <c:pt idx="57">
                  <c:v>105.6</c:v>
                </c:pt>
                <c:pt idx="58">
                  <c:v>106.4</c:v>
                </c:pt>
                <c:pt idx="59">
                  <c:v>107.2</c:v>
                </c:pt>
                <c:pt idx="60">
                  <c:v>108</c:v>
                </c:pt>
                <c:pt idx="61">
                  <c:v>108.8</c:v>
                </c:pt>
                <c:pt idx="62">
                  <c:v>109.6</c:v>
                </c:pt>
                <c:pt idx="63">
                  <c:v>110.4</c:v>
                </c:pt>
                <c:pt idx="64">
                  <c:v>111.2</c:v>
                </c:pt>
                <c:pt idx="65">
                  <c:v>112</c:v>
                </c:pt>
                <c:pt idx="66">
                  <c:v>112.8</c:v>
                </c:pt>
                <c:pt idx="67">
                  <c:v>113.6</c:v>
                </c:pt>
                <c:pt idx="68">
                  <c:v>114.4</c:v>
                </c:pt>
                <c:pt idx="69">
                  <c:v>115.2</c:v>
                </c:pt>
                <c:pt idx="70">
                  <c:v>116</c:v>
                </c:pt>
                <c:pt idx="71">
                  <c:v>116.8</c:v>
                </c:pt>
                <c:pt idx="72">
                  <c:v>117.6</c:v>
                </c:pt>
                <c:pt idx="73">
                  <c:v>118.4</c:v>
                </c:pt>
                <c:pt idx="74">
                  <c:v>119.2</c:v>
                </c:pt>
                <c:pt idx="75">
                  <c:v>120</c:v>
                </c:pt>
                <c:pt idx="76">
                  <c:v>120.8</c:v>
                </c:pt>
                <c:pt idx="77">
                  <c:v>121.6</c:v>
                </c:pt>
                <c:pt idx="78">
                  <c:v>122.4</c:v>
                </c:pt>
                <c:pt idx="79">
                  <c:v>123.2</c:v>
                </c:pt>
                <c:pt idx="80">
                  <c:v>124</c:v>
                </c:pt>
                <c:pt idx="81">
                  <c:v>124.8</c:v>
                </c:pt>
                <c:pt idx="82">
                  <c:v>125.6</c:v>
                </c:pt>
                <c:pt idx="83">
                  <c:v>126.4</c:v>
                </c:pt>
                <c:pt idx="84">
                  <c:v>127.2</c:v>
                </c:pt>
                <c:pt idx="85">
                  <c:v>128</c:v>
                </c:pt>
                <c:pt idx="86">
                  <c:v>128.80000000000001</c:v>
                </c:pt>
                <c:pt idx="87">
                  <c:v>129.6</c:v>
                </c:pt>
                <c:pt idx="88">
                  <c:v>130.4</c:v>
                </c:pt>
                <c:pt idx="89">
                  <c:v>131.19999999999999</c:v>
                </c:pt>
                <c:pt idx="90">
                  <c:v>132</c:v>
                </c:pt>
                <c:pt idx="91">
                  <c:v>132.80000000000001</c:v>
                </c:pt>
                <c:pt idx="92">
                  <c:v>133.6</c:v>
                </c:pt>
                <c:pt idx="93">
                  <c:v>134.4</c:v>
                </c:pt>
                <c:pt idx="94">
                  <c:v>135.19999999999999</c:v>
                </c:pt>
                <c:pt idx="95">
                  <c:v>136</c:v>
                </c:pt>
                <c:pt idx="96">
                  <c:v>136.80000000000001</c:v>
                </c:pt>
                <c:pt idx="97">
                  <c:v>137.6</c:v>
                </c:pt>
                <c:pt idx="98">
                  <c:v>138.4</c:v>
                </c:pt>
                <c:pt idx="99">
                  <c:v>139.19999999999999</c:v>
                </c:pt>
                <c:pt idx="100">
                  <c:v>140</c:v>
                </c:pt>
              </c:numCache>
            </c:numRef>
          </c:xVal>
          <c:yVal>
            <c:numRef>
              <c:f>'Option Strategy'!$U$4:$DQ$4</c:f>
              <c:numCache>
                <c:formatCode>General</c:formatCode>
                <c:ptCount val="101"/>
                <c:pt idx="0">
                  <c:v>-1005.3046663074276</c:v>
                </c:pt>
                <c:pt idx="1">
                  <c:v>-982.90466630742776</c:v>
                </c:pt>
                <c:pt idx="2">
                  <c:v>-960.50466630742767</c:v>
                </c:pt>
                <c:pt idx="3">
                  <c:v>-938.10466630742758</c:v>
                </c:pt>
                <c:pt idx="4">
                  <c:v>-915.70466630742749</c:v>
                </c:pt>
                <c:pt idx="5">
                  <c:v>-893.30466630742762</c:v>
                </c:pt>
                <c:pt idx="6">
                  <c:v>-870.90466630742776</c:v>
                </c:pt>
                <c:pt idx="7">
                  <c:v>-848.50466630742767</c:v>
                </c:pt>
                <c:pt idx="8">
                  <c:v>-826.10466630742735</c:v>
                </c:pt>
                <c:pt idx="9">
                  <c:v>-803.70466630742749</c:v>
                </c:pt>
                <c:pt idx="10">
                  <c:v>-781.30466630742762</c:v>
                </c:pt>
                <c:pt idx="11">
                  <c:v>-758.90466630742776</c:v>
                </c:pt>
                <c:pt idx="12">
                  <c:v>-736.50466630742767</c:v>
                </c:pt>
                <c:pt idx="13">
                  <c:v>-714.10466630742735</c:v>
                </c:pt>
                <c:pt idx="14">
                  <c:v>-691.70466630742749</c:v>
                </c:pt>
                <c:pt idx="15">
                  <c:v>-669.30466630742762</c:v>
                </c:pt>
                <c:pt idx="16">
                  <c:v>-646.90466630742776</c:v>
                </c:pt>
                <c:pt idx="17">
                  <c:v>-624.50466630742767</c:v>
                </c:pt>
                <c:pt idx="18">
                  <c:v>-602.10466630742735</c:v>
                </c:pt>
                <c:pt idx="19">
                  <c:v>-579.70466630742749</c:v>
                </c:pt>
                <c:pt idx="20">
                  <c:v>-557.30466630742762</c:v>
                </c:pt>
                <c:pt idx="21">
                  <c:v>-534.90466630742776</c:v>
                </c:pt>
                <c:pt idx="22">
                  <c:v>-512.50466630742767</c:v>
                </c:pt>
                <c:pt idx="23">
                  <c:v>-490.10466630742741</c:v>
                </c:pt>
                <c:pt idx="24">
                  <c:v>-467.70466630742743</c:v>
                </c:pt>
                <c:pt idx="25">
                  <c:v>-445.30466630742757</c:v>
                </c:pt>
                <c:pt idx="26">
                  <c:v>-422.9046663074277</c:v>
                </c:pt>
                <c:pt idx="27">
                  <c:v>-400.50466630742773</c:v>
                </c:pt>
                <c:pt idx="28">
                  <c:v>-378.10466630742741</c:v>
                </c:pt>
                <c:pt idx="29">
                  <c:v>-355.70466630742749</c:v>
                </c:pt>
                <c:pt idx="30">
                  <c:v>-333.30466630742757</c:v>
                </c:pt>
                <c:pt idx="31">
                  <c:v>-310.90466630742765</c:v>
                </c:pt>
                <c:pt idx="32">
                  <c:v>-288.50466630742773</c:v>
                </c:pt>
                <c:pt idx="33">
                  <c:v>-266.10466630742741</c:v>
                </c:pt>
                <c:pt idx="34">
                  <c:v>-243.70466630742749</c:v>
                </c:pt>
                <c:pt idx="35">
                  <c:v>-221.30466630742757</c:v>
                </c:pt>
                <c:pt idx="36">
                  <c:v>-198.90466630742765</c:v>
                </c:pt>
                <c:pt idx="37">
                  <c:v>-176.50466630742773</c:v>
                </c:pt>
                <c:pt idx="38">
                  <c:v>-154.10466630742741</c:v>
                </c:pt>
                <c:pt idx="39">
                  <c:v>-131.70466630742749</c:v>
                </c:pt>
                <c:pt idx="40">
                  <c:v>-109.30466630742757</c:v>
                </c:pt>
                <c:pt idx="41">
                  <c:v>-86.904666307427647</c:v>
                </c:pt>
                <c:pt idx="42">
                  <c:v>-64.504666307427726</c:v>
                </c:pt>
                <c:pt idx="43">
                  <c:v>-42.104666307427408</c:v>
                </c:pt>
                <c:pt idx="44">
                  <c:v>-19.704666307427487</c:v>
                </c:pt>
                <c:pt idx="45">
                  <c:v>2.6953336925724329</c:v>
                </c:pt>
                <c:pt idx="46">
                  <c:v>25.095333692572353</c:v>
                </c:pt>
                <c:pt idx="47">
                  <c:v>47.495333692572274</c:v>
                </c:pt>
                <c:pt idx="48">
                  <c:v>69.895333692572592</c:v>
                </c:pt>
                <c:pt idx="49">
                  <c:v>92.295333692572513</c:v>
                </c:pt>
                <c:pt idx="50">
                  <c:v>114.69533369257243</c:v>
                </c:pt>
                <c:pt idx="51">
                  <c:v>100.29533369257247</c:v>
                </c:pt>
                <c:pt idx="52">
                  <c:v>85.895333692572535</c:v>
                </c:pt>
                <c:pt idx="53">
                  <c:v>71.495333692572331</c:v>
                </c:pt>
                <c:pt idx="54">
                  <c:v>57.095333692572382</c:v>
                </c:pt>
                <c:pt idx="55">
                  <c:v>42.695333692572419</c:v>
                </c:pt>
                <c:pt idx="56">
                  <c:v>28.29533369257247</c:v>
                </c:pt>
                <c:pt idx="57">
                  <c:v>13.895333692572564</c:v>
                </c:pt>
                <c:pt idx="58">
                  <c:v>-0.50466630742764096</c:v>
                </c:pt>
                <c:pt idx="59">
                  <c:v>-14.904666307427647</c:v>
                </c:pt>
                <c:pt idx="60">
                  <c:v>-29.304666307427624</c:v>
                </c:pt>
                <c:pt idx="61">
                  <c:v>-43.704666307427544</c:v>
                </c:pt>
                <c:pt idx="62">
                  <c:v>-58.104666307427522</c:v>
                </c:pt>
                <c:pt idx="63">
                  <c:v>-72.504666307427726</c:v>
                </c:pt>
                <c:pt idx="64">
                  <c:v>-86.904666307427647</c:v>
                </c:pt>
                <c:pt idx="65">
                  <c:v>-101.30466630742762</c:v>
                </c:pt>
                <c:pt idx="66">
                  <c:v>-115.70466630742766</c:v>
                </c:pt>
                <c:pt idx="67">
                  <c:v>-130.10466630742746</c:v>
                </c:pt>
                <c:pt idx="68">
                  <c:v>-144.50466630742767</c:v>
                </c:pt>
                <c:pt idx="69">
                  <c:v>-158.90466630742759</c:v>
                </c:pt>
                <c:pt idx="70">
                  <c:v>-173.30466630742762</c:v>
                </c:pt>
                <c:pt idx="71">
                  <c:v>-187.70466630742766</c:v>
                </c:pt>
                <c:pt idx="72">
                  <c:v>-202.10466630742746</c:v>
                </c:pt>
                <c:pt idx="73">
                  <c:v>-216.50466630742767</c:v>
                </c:pt>
                <c:pt idx="74">
                  <c:v>-230.90466630742742</c:v>
                </c:pt>
                <c:pt idx="75">
                  <c:v>-245.30466630742751</c:v>
                </c:pt>
                <c:pt idx="76">
                  <c:v>-259.7046663074276</c:v>
                </c:pt>
                <c:pt idx="77">
                  <c:v>-274.10466630742724</c:v>
                </c:pt>
                <c:pt idx="78">
                  <c:v>-288.50466630742778</c:v>
                </c:pt>
                <c:pt idx="79">
                  <c:v>-302.90466630742753</c:v>
                </c:pt>
                <c:pt idx="80">
                  <c:v>-317.30466630742785</c:v>
                </c:pt>
                <c:pt idx="81">
                  <c:v>-331.70466630742749</c:v>
                </c:pt>
                <c:pt idx="82">
                  <c:v>-346.10466630742724</c:v>
                </c:pt>
                <c:pt idx="83">
                  <c:v>-360.50466630742778</c:v>
                </c:pt>
                <c:pt idx="84">
                  <c:v>-374.90466630742753</c:v>
                </c:pt>
                <c:pt idx="85">
                  <c:v>-389.30466630742785</c:v>
                </c:pt>
                <c:pt idx="86">
                  <c:v>-403.70466630742771</c:v>
                </c:pt>
                <c:pt idx="87">
                  <c:v>-418.10466630742724</c:v>
                </c:pt>
                <c:pt idx="88">
                  <c:v>-432.50466630742778</c:v>
                </c:pt>
                <c:pt idx="89">
                  <c:v>-446.90466630742731</c:v>
                </c:pt>
                <c:pt idx="90">
                  <c:v>-461.30466630742785</c:v>
                </c:pt>
                <c:pt idx="91">
                  <c:v>-475.70466630742771</c:v>
                </c:pt>
                <c:pt idx="92">
                  <c:v>-490.10466630742724</c:v>
                </c:pt>
                <c:pt idx="93">
                  <c:v>-504.50466630742778</c:v>
                </c:pt>
                <c:pt idx="94">
                  <c:v>-518.90466630742731</c:v>
                </c:pt>
                <c:pt idx="95">
                  <c:v>-533.30466630742785</c:v>
                </c:pt>
                <c:pt idx="96">
                  <c:v>-547.70466630742771</c:v>
                </c:pt>
                <c:pt idx="97">
                  <c:v>-562.10466630742735</c:v>
                </c:pt>
                <c:pt idx="98">
                  <c:v>-576.50466630742767</c:v>
                </c:pt>
                <c:pt idx="99">
                  <c:v>-590.90466630742731</c:v>
                </c:pt>
                <c:pt idx="100">
                  <c:v>-605.30466630742785</c:v>
                </c:pt>
              </c:numCache>
            </c:numRef>
          </c:yVal>
          <c:smooth val="1"/>
          <c:extLst>
            <c:ext xmlns:c16="http://schemas.microsoft.com/office/drawing/2014/chart" uri="{C3380CC4-5D6E-409C-BE32-E72D297353CC}">
              <c16:uniqueId val="{00000006-C0DB-B844-A023-473EBF2F63C1}"/>
            </c:ext>
          </c:extLst>
        </c:ser>
        <c:dLbls>
          <c:showLegendKey val="0"/>
          <c:showVal val="0"/>
          <c:showCatName val="0"/>
          <c:showSerName val="0"/>
          <c:showPercent val="0"/>
          <c:showBubbleSize val="0"/>
        </c:dLbls>
        <c:axId val="622651055"/>
        <c:axId val="623631679"/>
      </c:scatterChart>
      <c:valAx>
        <c:axId val="1075388607"/>
        <c:scaling>
          <c:orientation val="minMax"/>
          <c:max val="140"/>
          <c:min val="6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FR"/>
          </a:p>
        </c:txPr>
        <c:crossAx val="1075390239"/>
        <c:crosses val="autoZero"/>
        <c:crossBetween val="midCat"/>
      </c:valAx>
      <c:valAx>
        <c:axId val="10753902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FR"/>
          </a:p>
        </c:txPr>
        <c:crossAx val="1075388607"/>
        <c:crosses val="autoZero"/>
        <c:crossBetween val="midCat"/>
      </c:valAx>
      <c:valAx>
        <c:axId val="623631679"/>
        <c:scaling>
          <c:orientation val="minMax"/>
        </c:scaling>
        <c:delete val="0"/>
        <c:axPos val="r"/>
        <c:numFmt formatCode="General" sourceLinked="1"/>
        <c:majorTickMark val="out"/>
        <c:minorTickMark val="none"/>
        <c:tickLblPos val="nextTo"/>
        <c:crossAx val="622651055"/>
        <c:crosses val="max"/>
        <c:crossBetween val="midCat"/>
      </c:valAx>
      <c:valAx>
        <c:axId val="622651055"/>
        <c:scaling>
          <c:orientation val="minMax"/>
        </c:scaling>
        <c:delete val="1"/>
        <c:axPos val="b"/>
        <c:numFmt formatCode="General" sourceLinked="1"/>
        <c:majorTickMark val="out"/>
        <c:minorTickMark val="none"/>
        <c:tickLblPos val="nextTo"/>
        <c:crossAx val="623631679"/>
        <c:crosses val="autoZero"/>
        <c:crossBetween val="midCat"/>
      </c:valAx>
    </c:plotArea>
    <c:plotVisOnly val="1"/>
    <c:dispBlanksAs val="gap"/>
    <c:showDLblsOverMax val="0"/>
    <c:extLst/>
  </c:chart>
  <c:txPr>
    <a:bodyPr/>
    <a:lstStyle/>
    <a:p>
      <a:pPr>
        <a:defRPr/>
      </a:pPr>
      <a:endParaRPr lang="en-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Rho </a:t>
            </a:r>
            <a:r>
              <a:rPr lang="el-GR"/>
              <a:t>ρ</a:t>
            </a:r>
            <a:endParaRPr lang="en-GB"/>
          </a:p>
        </c:rich>
      </c:tx>
      <c:overlay val="0"/>
      <c:spPr>
        <a:noFill/>
        <a:ln>
          <a:noFill/>
        </a:ln>
        <a:effectLst/>
      </c:spPr>
    </c:title>
    <c:autoTitleDeleted val="0"/>
    <c:plotArea>
      <c:layout/>
      <c:scatterChart>
        <c:scatterStyle val="smoothMarker"/>
        <c:varyColors val="0"/>
        <c:ser>
          <c:idx val="1"/>
          <c:order val="0"/>
          <c:xVal>
            <c:numRef>
              <c:f>'Option Strategy'!$U$3:$DQ$3</c:f>
              <c:numCache>
                <c:formatCode>General</c:formatCode>
                <c:ptCount val="101"/>
                <c:pt idx="0">
                  <c:v>60</c:v>
                </c:pt>
                <c:pt idx="1">
                  <c:v>60.8</c:v>
                </c:pt>
                <c:pt idx="2">
                  <c:v>61.6</c:v>
                </c:pt>
                <c:pt idx="3">
                  <c:v>62.4</c:v>
                </c:pt>
                <c:pt idx="4">
                  <c:v>63.2</c:v>
                </c:pt>
                <c:pt idx="5">
                  <c:v>64</c:v>
                </c:pt>
                <c:pt idx="6">
                  <c:v>64.8</c:v>
                </c:pt>
                <c:pt idx="7">
                  <c:v>65.599999999999994</c:v>
                </c:pt>
                <c:pt idx="8">
                  <c:v>66.400000000000006</c:v>
                </c:pt>
                <c:pt idx="9">
                  <c:v>67.2</c:v>
                </c:pt>
                <c:pt idx="10">
                  <c:v>68</c:v>
                </c:pt>
                <c:pt idx="11">
                  <c:v>68.8</c:v>
                </c:pt>
                <c:pt idx="12">
                  <c:v>69.599999999999994</c:v>
                </c:pt>
                <c:pt idx="13">
                  <c:v>70.400000000000006</c:v>
                </c:pt>
                <c:pt idx="14">
                  <c:v>71.2</c:v>
                </c:pt>
                <c:pt idx="15">
                  <c:v>72</c:v>
                </c:pt>
                <c:pt idx="16">
                  <c:v>72.8</c:v>
                </c:pt>
                <c:pt idx="17">
                  <c:v>73.599999999999994</c:v>
                </c:pt>
                <c:pt idx="18">
                  <c:v>74.400000000000006</c:v>
                </c:pt>
                <c:pt idx="19">
                  <c:v>75.2</c:v>
                </c:pt>
                <c:pt idx="20">
                  <c:v>76</c:v>
                </c:pt>
                <c:pt idx="21">
                  <c:v>76.8</c:v>
                </c:pt>
                <c:pt idx="22">
                  <c:v>77.599999999999994</c:v>
                </c:pt>
                <c:pt idx="23">
                  <c:v>78.400000000000006</c:v>
                </c:pt>
                <c:pt idx="24">
                  <c:v>79.2</c:v>
                </c:pt>
                <c:pt idx="25">
                  <c:v>80</c:v>
                </c:pt>
                <c:pt idx="26">
                  <c:v>80.8</c:v>
                </c:pt>
                <c:pt idx="27">
                  <c:v>81.599999999999994</c:v>
                </c:pt>
                <c:pt idx="28">
                  <c:v>82.4</c:v>
                </c:pt>
                <c:pt idx="29">
                  <c:v>83.2</c:v>
                </c:pt>
                <c:pt idx="30">
                  <c:v>84</c:v>
                </c:pt>
                <c:pt idx="31">
                  <c:v>84.8</c:v>
                </c:pt>
                <c:pt idx="32">
                  <c:v>85.6</c:v>
                </c:pt>
                <c:pt idx="33">
                  <c:v>86.4</c:v>
                </c:pt>
                <c:pt idx="34">
                  <c:v>87.2</c:v>
                </c:pt>
                <c:pt idx="35">
                  <c:v>88</c:v>
                </c:pt>
                <c:pt idx="36">
                  <c:v>88.8</c:v>
                </c:pt>
                <c:pt idx="37">
                  <c:v>89.6</c:v>
                </c:pt>
                <c:pt idx="38">
                  <c:v>90.4</c:v>
                </c:pt>
                <c:pt idx="39">
                  <c:v>91.2</c:v>
                </c:pt>
                <c:pt idx="40">
                  <c:v>92</c:v>
                </c:pt>
                <c:pt idx="41">
                  <c:v>92.8</c:v>
                </c:pt>
                <c:pt idx="42">
                  <c:v>93.6</c:v>
                </c:pt>
                <c:pt idx="43">
                  <c:v>94.4</c:v>
                </c:pt>
                <c:pt idx="44">
                  <c:v>95.2</c:v>
                </c:pt>
                <c:pt idx="45">
                  <c:v>96</c:v>
                </c:pt>
                <c:pt idx="46">
                  <c:v>96.8</c:v>
                </c:pt>
                <c:pt idx="47">
                  <c:v>97.6</c:v>
                </c:pt>
                <c:pt idx="48">
                  <c:v>98.4</c:v>
                </c:pt>
                <c:pt idx="49">
                  <c:v>99.2</c:v>
                </c:pt>
                <c:pt idx="50">
                  <c:v>100</c:v>
                </c:pt>
                <c:pt idx="51">
                  <c:v>100.8</c:v>
                </c:pt>
                <c:pt idx="52">
                  <c:v>101.6</c:v>
                </c:pt>
                <c:pt idx="53">
                  <c:v>102.4</c:v>
                </c:pt>
                <c:pt idx="54">
                  <c:v>103.2</c:v>
                </c:pt>
                <c:pt idx="55">
                  <c:v>104</c:v>
                </c:pt>
                <c:pt idx="56">
                  <c:v>104.8</c:v>
                </c:pt>
                <c:pt idx="57">
                  <c:v>105.6</c:v>
                </c:pt>
                <c:pt idx="58">
                  <c:v>106.4</c:v>
                </c:pt>
                <c:pt idx="59">
                  <c:v>107.2</c:v>
                </c:pt>
                <c:pt idx="60">
                  <c:v>108</c:v>
                </c:pt>
                <c:pt idx="61">
                  <c:v>108.8</c:v>
                </c:pt>
                <c:pt idx="62">
                  <c:v>109.6</c:v>
                </c:pt>
                <c:pt idx="63">
                  <c:v>110.4</c:v>
                </c:pt>
                <c:pt idx="64">
                  <c:v>111.2</c:v>
                </c:pt>
                <c:pt idx="65">
                  <c:v>112</c:v>
                </c:pt>
                <c:pt idx="66">
                  <c:v>112.8</c:v>
                </c:pt>
                <c:pt idx="67">
                  <c:v>113.6</c:v>
                </c:pt>
                <c:pt idx="68">
                  <c:v>114.4</c:v>
                </c:pt>
                <c:pt idx="69">
                  <c:v>115.2</c:v>
                </c:pt>
                <c:pt idx="70">
                  <c:v>116</c:v>
                </c:pt>
                <c:pt idx="71">
                  <c:v>116.8</c:v>
                </c:pt>
                <c:pt idx="72">
                  <c:v>117.6</c:v>
                </c:pt>
                <c:pt idx="73">
                  <c:v>118.4</c:v>
                </c:pt>
                <c:pt idx="74">
                  <c:v>119.2</c:v>
                </c:pt>
                <c:pt idx="75">
                  <c:v>120</c:v>
                </c:pt>
                <c:pt idx="76">
                  <c:v>120.8</c:v>
                </c:pt>
                <c:pt idx="77">
                  <c:v>121.6</c:v>
                </c:pt>
                <c:pt idx="78">
                  <c:v>122.4</c:v>
                </c:pt>
                <c:pt idx="79">
                  <c:v>123.2</c:v>
                </c:pt>
                <c:pt idx="80">
                  <c:v>124</c:v>
                </c:pt>
                <c:pt idx="81">
                  <c:v>124.8</c:v>
                </c:pt>
                <c:pt idx="82">
                  <c:v>125.6</c:v>
                </c:pt>
                <c:pt idx="83">
                  <c:v>126.4</c:v>
                </c:pt>
                <c:pt idx="84">
                  <c:v>127.2</c:v>
                </c:pt>
                <c:pt idx="85">
                  <c:v>128</c:v>
                </c:pt>
                <c:pt idx="86">
                  <c:v>128.80000000000001</c:v>
                </c:pt>
                <c:pt idx="87">
                  <c:v>129.6</c:v>
                </c:pt>
                <c:pt idx="88">
                  <c:v>130.4</c:v>
                </c:pt>
                <c:pt idx="89">
                  <c:v>131.19999999999999</c:v>
                </c:pt>
                <c:pt idx="90">
                  <c:v>132</c:v>
                </c:pt>
                <c:pt idx="91">
                  <c:v>132.80000000000001</c:v>
                </c:pt>
                <c:pt idx="92">
                  <c:v>133.6</c:v>
                </c:pt>
                <c:pt idx="93">
                  <c:v>134.4</c:v>
                </c:pt>
                <c:pt idx="94">
                  <c:v>135.19999999999999</c:v>
                </c:pt>
                <c:pt idx="95">
                  <c:v>136</c:v>
                </c:pt>
                <c:pt idx="96">
                  <c:v>136.80000000000001</c:v>
                </c:pt>
                <c:pt idx="97">
                  <c:v>137.6</c:v>
                </c:pt>
                <c:pt idx="98">
                  <c:v>138.4</c:v>
                </c:pt>
                <c:pt idx="99">
                  <c:v>139.19999999999999</c:v>
                </c:pt>
                <c:pt idx="100">
                  <c:v>140</c:v>
                </c:pt>
              </c:numCache>
            </c:numRef>
          </c:xVal>
          <c:yVal>
            <c:numRef>
              <c:f>'Option Strategy'!$U$9:$DQ$9</c:f>
              <c:numCache>
                <c:formatCode>General</c:formatCode>
                <c:ptCount val="101"/>
                <c:pt idx="0">
                  <c:v>-4.8668440882909462E-8</c:v>
                </c:pt>
                <c:pt idx="1">
                  <c:v>-9.7228594423387354E-8</c:v>
                </c:pt>
                <c:pt idx="2">
                  <c:v>-1.8927386976048225E-7</c:v>
                </c:pt>
                <c:pt idx="3">
                  <c:v>-3.59362516372758E-7</c:v>
                </c:pt>
                <c:pt idx="4">
                  <c:v>-6.6603724885706179E-7</c:v>
                </c:pt>
                <c:pt idx="5">
                  <c:v>-1.2060069844051099E-6</c:v>
                </c:pt>
                <c:pt idx="6">
                  <c:v>-2.1351741449819612E-6</c:v>
                </c:pt>
                <c:pt idx="7">
                  <c:v>-3.6989724712389961E-6</c:v>
                </c:pt>
                <c:pt idx="8">
                  <c:v>-6.2749705234542849E-6</c:v>
                </c:pt>
                <c:pt idx="9">
                  <c:v>-1.0431112497597848E-5</c:v>
                </c:pt>
                <c:pt idx="10">
                  <c:v>-1.7003223039423065E-5</c:v>
                </c:pt>
                <c:pt idx="11">
                  <c:v>-2.7195392372916632E-5</c:v>
                </c:pt>
                <c:pt idx="12">
                  <c:v>-4.2706470695978573E-5</c:v>
                </c:pt>
                <c:pt idx="13">
                  <c:v>-6.5885030343120239E-5</c:v>
                </c:pt>
                <c:pt idx="14">
                  <c:v>-9.991371611367383E-5</c:v>
                </c:pt>
                <c:pt idx="15">
                  <c:v>-1.4902185214139585E-4</c:v>
                </c:pt>
                <c:pt idx="16">
                  <c:v>-2.1872251379067401E-4</c:v>
                </c:pt>
                <c:pt idx="17">
                  <c:v>-3.1606707089714033E-4</c:v>
                </c:pt>
                <c:pt idx="18">
                  <c:v>-4.4990658580417803E-4</c:v>
                </c:pt>
                <c:pt idx="19">
                  <c:v>-6.311455671478718E-4</c:v>
                </c:pt>
                <c:pt idx="20">
                  <c:v>-8.7296961112946195E-4</c:v>
                </c:pt>
                <c:pt idx="21">
                  <c:v>-1.1910245603498199E-3</c:v>
                </c:pt>
                <c:pt idx="22">
                  <c:v>-1.6035210946629744E-3</c:v>
                </c:pt>
                <c:pt idx="23">
                  <c:v>-2.1312352407857095E-3</c:v>
                </c:pt>
                <c:pt idx="24">
                  <c:v>-2.7973723109659997E-3</c:v>
                </c:pt>
                <c:pt idx="25">
                  <c:v>-3.6272596279949185E-3</c:v>
                </c:pt>
                <c:pt idx="26">
                  <c:v>-4.6478328413006266E-3</c:v>
                </c:pt>
                <c:pt idx="27">
                  <c:v>-5.8868830492186481E-3</c:v>
                </c:pt>
                <c:pt idx="28">
                  <c:v>-7.3720393174655239E-3</c:v>
                </c:pt>
                <c:pt idx="29">
                  <c:v>-9.1294759576345426E-3</c:v>
                </c:pt>
                <c:pt idx="30">
                  <c:v>-1.1182358396547543E-2</c:v>
                </c:pt>
                <c:pt idx="31">
                  <c:v>-1.3549076837749285E-2</c:v>
                </c:pt>
                <c:pt idx="32">
                  <c:v>-1.6241362157557483E-2</c:v>
                </c:pt>
                <c:pt idx="33">
                  <c:v>-1.9262429279686886E-2</c:v>
                </c:pt>
                <c:pt idx="34">
                  <c:v>-2.2605341599349543E-2</c:v>
                </c:pt>
                <c:pt idx="35">
                  <c:v>-2.6251824703031171E-2</c:v>
                </c:pt>
                <c:pt idx="36">
                  <c:v>-3.0171766181767992E-2</c:v>
                </c:pt>
                <c:pt idx="37">
                  <c:v>-3.4323609952820022E-2</c:v>
                </c:pt>
                <c:pt idx="38">
                  <c:v>-3.8655782495775504E-2</c:v>
                </c:pt>
                <c:pt idx="39">
                  <c:v>-4.3109177196473961E-2</c:v>
                </c:pt>
                <c:pt idx="40">
                  <c:v>-4.762058358087988E-2</c:v>
                </c:pt>
                <c:pt idx="41">
                  <c:v>-5.2126801351157236E-2</c:v>
                </c:pt>
                <c:pt idx="42">
                  <c:v>-5.6569050919933E-2</c:v>
                </c:pt>
                <c:pt idx="43">
                  <c:v>-6.0897208747710208E-2</c:v>
                </c:pt>
                <c:pt idx="44">
                  <c:v>-6.5073377428965434E-2</c:v>
                </c:pt>
                <c:pt idx="45">
                  <c:v>-6.9074356230736683E-2</c:v>
                </c:pt>
                <c:pt idx="46">
                  <c:v>-7.2892702795174499E-2</c:v>
                </c:pt>
                <c:pt idx="47">
                  <c:v>-7.6536252503703189E-2</c:v>
                </c:pt>
                <c:pt idx="48">
                  <c:v>-8.0026160031111487E-2</c:v>
                </c:pt>
                <c:pt idx="49">
                  <c:v>-8.3393715155498122E-2</c:v>
                </c:pt>
                <c:pt idx="50">
                  <c:v>-8.6676331700936471E-2</c:v>
                </c:pt>
                <c:pt idx="51">
                  <c:v>-8.9913192760274874E-2</c:v>
                </c:pt>
                <c:pt idx="52">
                  <c:v>-9.314104746150878E-2</c:v>
                </c:pt>
                <c:pt idx="53">
                  <c:v>-9.6390598021704119E-2</c:v>
                </c:pt>
                <c:pt idx="54">
                  <c:v>-9.9683805470878906E-2</c:v>
                </c:pt>
                <c:pt idx="55">
                  <c:v>-0.10303230035740614</c:v>
                </c:pt>
                <c:pt idx="56">
                  <c:v>-0.10643693554156453</c:v>
                </c:pt>
                <c:pt idx="57">
                  <c:v>-0.10988838417829615</c:v>
                </c:pt>
                <c:pt idx="58">
                  <c:v>-0.11336858374631886</c:v>
                </c:pt>
                <c:pt idx="59">
                  <c:v>-0.11685276543743847</c:v>
                </c:pt>
                <c:pt idx="60">
                  <c:v>-0.12031178857883029</c:v>
                </c:pt>
                <c:pt idx="61">
                  <c:v>-0.1237145167883031</c:v>
                </c:pt>
                <c:pt idx="62">
                  <c:v>-0.1270300167566783</c:v>
                </c:pt>
                <c:pt idx="63">
                  <c:v>-0.13022942057350717</c:v>
                </c:pt>
                <c:pt idx="64">
                  <c:v>-0.13328735736478631</c:v>
                </c:pt>
                <c:pt idx="65">
                  <c:v>-0.13618292062912296</c:v>
                </c:pt>
                <c:pt idx="66">
                  <c:v>-0.13890018777895943</c:v>
                </c:pt>
                <c:pt idx="67">
                  <c:v>-0.14142834474254562</c:v>
                </c:pt>
                <c:pt idx="68">
                  <c:v>-0.14376149043869474</c:v>
                </c:pt>
                <c:pt idx="69">
                  <c:v>-0.14589820487566574</c:v>
                </c:pt>
                <c:pt idx="70">
                  <c:v>-0.14784096315292916</c:v>
                </c:pt>
                <c:pt idx="71">
                  <c:v>-0.14959546887418002</c:v>
                </c:pt>
                <c:pt idx="72">
                  <c:v>-0.15116996746320144</c:v>
                </c:pt>
                <c:pt idx="73">
                  <c:v>-0.15257458521968559</c:v>
                </c:pt>
                <c:pt idx="74">
                  <c:v>-0.15382072563304128</c:v>
                </c:pt>
                <c:pt idx="75">
                  <c:v>-0.15492054178699011</c:v>
                </c:pt>
                <c:pt idx="76">
                  <c:v>-0.15588649332694393</c:v>
                </c:pt>
                <c:pt idx="77">
                  <c:v>-0.15673098863411758</c:v>
                </c:pt>
                <c:pt idx="78">
                  <c:v>-0.15746610742575279</c:v>
                </c:pt>
                <c:pt idx="79">
                  <c:v>-0.15810339564888298</c:v>
                </c:pt>
                <c:pt idx="80">
                  <c:v>-0.15865372283465481</c:v>
                </c:pt>
                <c:pt idx="81">
                  <c:v>-0.159127191600764</c:v>
                </c:pt>
                <c:pt idx="82">
                  <c:v>-0.15953308934184363</c:v>
                </c:pt>
                <c:pt idx="83">
                  <c:v>-0.15987987300985501</c:v>
                </c:pt>
                <c:pt idx="84">
                  <c:v>-0.16017517901194858</c:v>
                </c:pt>
                <c:pt idx="85">
                  <c:v>-0.16042585146603922</c:v>
                </c:pt>
                <c:pt idx="86">
                  <c:v>-0.16063798323887532</c:v>
                </c:pt>
                <c:pt idx="87">
                  <c:v>-0.1608169652792972</c:v>
                </c:pt>
                <c:pt idx="88">
                  <c:v>-0.16096754071670683</c:v>
                </c:pt>
                <c:pt idx="89">
                  <c:v>-0.16109386101089759</c:v>
                </c:pt>
                <c:pt idx="90">
                  <c:v>-0.1611995421182128</c:v>
                </c:pt>
                <c:pt idx="91">
                  <c:v>-0.16128771919249413</c:v>
                </c:pt>
                <c:pt idx="92">
                  <c:v>-0.16136109878302596</c:v>
                </c:pt>
                <c:pt idx="93">
                  <c:v>-0.16142200784207522</c:v>
                </c:pt>
                <c:pt idx="94">
                  <c:v>-0.16147243912723824</c:v>
                </c:pt>
                <c:pt idx="95">
                  <c:v>-0.16151409279259266</c:v>
                </c:pt>
                <c:pt idx="96">
                  <c:v>-0.16154841411965715</c:v>
                </c:pt>
                <c:pt idx="97">
                  <c:v>-0.16157662745454365</c:v>
                </c:pt>
                <c:pt idx="98">
                  <c:v>-0.1615997664998825</c:v>
                </c:pt>
                <c:pt idx="99">
                  <c:v>-0.16161870116604823</c:v>
                </c:pt>
                <c:pt idx="100">
                  <c:v>-0.16163416122160532</c:v>
                </c:pt>
              </c:numCache>
            </c:numRef>
          </c:yVal>
          <c:smooth val="1"/>
          <c:extLst>
            <c:ext xmlns:c16="http://schemas.microsoft.com/office/drawing/2014/chart" uri="{C3380CC4-5D6E-409C-BE32-E72D297353CC}">
              <c16:uniqueId val="{00000004-5983-C84C-B040-DF0D1E20DADA}"/>
            </c:ext>
          </c:extLst>
        </c:ser>
        <c:dLbls>
          <c:showLegendKey val="0"/>
          <c:showVal val="0"/>
          <c:showCatName val="0"/>
          <c:showSerName val="0"/>
          <c:showPercent val="0"/>
          <c:showBubbleSize val="0"/>
        </c:dLbls>
        <c:axId val="1075388607"/>
        <c:axId val="1075390239"/>
      </c:scatterChart>
      <c:scatterChart>
        <c:scatterStyle val="smoothMarker"/>
        <c:varyColors val="0"/>
        <c:ser>
          <c:idx val="0"/>
          <c:order val="1"/>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'Option Strategy'!$U$3:$DQ$3</c:f>
              <c:numCache>
                <c:formatCode>General</c:formatCode>
                <c:ptCount val="101"/>
                <c:pt idx="0">
                  <c:v>60</c:v>
                </c:pt>
                <c:pt idx="1">
                  <c:v>60.8</c:v>
                </c:pt>
                <c:pt idx="2">
                  <c:v>61.6</c:v>
                </c:pt>
                <c:pt idx="3">
                  <c:v>62.4</c:v>
                </c:pt>
                <c:pt idx="4">
                  <c:v>63.2</c:v>
                </c:pt>
                <c:pt idx="5">
                  <c:v>64</c:v>
                </c:pt>
                <c:pt idx="6">
                  <c:v>64.8</c:v>
                </c:pt>
                <c:pt idx="7">
                  <c:v>65.599999999999994</c:v>
                </c:pt>
                <c:pt idx="8">
                  <c:v>66.400000000000006</c:v>
                </c:pt>
                <c:pt idx="9">
                  <c:v>67.2</c:v>
                </c:pt>
                <c:pt idx="10">
                  <c:v>68</c:v>
                </c:pt>
                <c:pt idx="11">
                  <c:v>68.8</c:v>
                </c:pt>
                <c:pt idx="12">
                  <c:v>69.599999999999994</c:v>
                </c:pt>
                <c:pt idx="13">
                  <c:v>70.400000000000006</c:v>
                </c:pt>
                <c:pt idx="14">
                  <c:v>71.2</c:v>
                </c:pt>
                <c:pt idx="15">
                  <c:v>72</c:v>
                </c:pt>
                <c:pt idx="16">
                  <c:v>72.8</c:v>
                </c:pt>
                <c:pt idx="17">
                  <c:v>73.599999999999994</c:v>
                </c:pt>
                <c:pt idx="18">
                  <c:v>74.400000000000006</c:v>
                </c:pt>
                <c:pt idx="19">
                  <c:v>75.2</c:v>
                </c:pt>
                <c:pt idx="20">
                  <c:v>76</c:v>
                </c:pt>
                <c:pt idx="21">
                  <c:v>76.8</c:v>
                </c:pt>
                <c:pt idx="22">
                  <c:v>77.599999999999994</c:v>
                </c:pt>
                <c:pt idx="23">
                  <c:v>78.400000000000006</c:v>
                </c:pt>
                <c:pt idx="24">
                  <c:v>79.2</c:v>
                </c:pt>
                <c:pt idx="25">
                  <c:v>80</c:v>
                </c:pt>
                <c:pt idx="26">
                  <c:v>80.8</c:v>
                </c:pt>
                <c:pt idx="27">
                  <c:v>81.599999999999994</c:v>
                </c:pt>
                <c:pt idx="28">
                  <c:v>82.4</c:v>
                </c:pt>
                <c:pt idx="29">
                  <c:v>83.2</c:v>
                </c:pt>
                <c:pt idx="30">
                  <c:v>84</c:v>
                </c:pt>
                <c:pt idx="31">
                  <c:v>84.8</c:v>
                </c:pt>
                <c:pt idx="32">
                  <c:v>85.6</c:v>
                </c:pt>
                <c:pt idx="33">
                  <c:v>86.4</c:v>
                </c:pt>
                <c:pt idx="34">
                  <c:v>87.2</c:v>
                </c:pt>
                <c:pt idx="35">
                  <c:v>88</c:v>
                </c:pt>
                <c:pt idx="36">
                  <c:v>88.8</c:v>
                </c:pt>
                <c:pt idx="37">
                  <c:v>89.6</c:v>
                </c:pt>
                <c:pt idx="38">
                  <c:v>90.4</c:v>
                </c:pt>
                <c:pt idx="39">
                  <c:v>91.2</c:v>
                </c:pt>
                <c:pt idx="40">
                  <c:v>92</c:v>
                </c:pt>
                <c:pt idx="41">
                  <c:v>92.8</c:v>
                </c:pt>
                <c:pt idx="42">
                  <c:v>93.6</c:v>
                </c:pt>
                <c:pt idx="43">
                  <c:v>94.4</c:v>
                </c:pt>
                <c:pt idx="44">
                  <c:v>95.2</c:v>
                </c:pt>
                <c:pt idx="45">
                  <c:v>96</c:v>
                </c:pt>
                <c:pt idx="46">
                  <c:v>96.8</c:v>
                </c:pt>
                <c:pt idx="47">
                  <c:v>97.6</c:v>
                </c:pt>
                <c:pt idx="48">
                  <c:v>98.4</c:v>
                </c:pt>
                <c:pt idx="49">
                  <c:v>99.2</c:v>
                </c:pt>
                <c:pt idx="50">
                  <c:v>100</c:v>
                </c:pt>
                <c:pt idx="51">
                  <c:v>100.8</c:v>
                </c:pt>
                <c:pt idx="52">
                  <c:v>101.6</c:v>
                </c:pt>
                <c:pt idx="53">
                  <c:v>102.4</c:v>
                </c:pt>
                <c:pt idx="54">
                  <c:v>103.2</c:v>
                </c:pt>
                <c:pt idx="55">
                  <c:v>104</c:v>
                </c:pt>
                <c:pt idx="56">
                  <c:v>104.8</c:v>
                </c:pt>
                <c:pt idx="57">
                  <c:v>105.6</c:v>
                </c:pt>
                <c:pt idx="58">
                  <c:v>106.4</c:v>
                </c:pt>
                <c:pt idx="59">
                  <c:v>107.2</c:v>
                </c:pt>
                <c:pt idx="60">
                  <c:v>108</c:v>
                </c:pt>
                <c:pt idx="61">
                  <c:v>108.8</c:v>
                </c:pt>
                <c:pt idx="62">
                  <c:v>109.6</c:v>
                </c:pt>
                <c:pt idx="63">
                  <c:v>110.4</c:v>
                </c:pt>
                <c:pt idx="64">
                  <c:v>111.2</c:v>
                </c:pt>
                <c:pt idx="65">
                  <c:v>112</c:v>
                </c:pt>
                <c:pt idx="66">
                  <c:v>112.8</c:v>
                </c:pt>
                <c:pt idx="67">
                  <c:v>113.6</c:v>
                </c:pt>
                <c:pt idx="68">
                  <c:v>114.4</c:v>
                </c:pt>
                <c:pt idx="69">
                  <c:v>115.2</c:v>
                </c:pt>
                <c:pt idx="70">
                  <c:v>116</c:v>
                </c:pt>
                <c:pt idx="71">
                  <c:v>116.8</c:v>
                </c:pt>
                <c:pt idx="72">
                  <c:v>117.6</c:v>
                </c:pt>
                <c:pt idx="73">
                  <c:v>118.4</c:v>
                </c:pt>
                <c:pt idx="74">
                  <c:v>119.2</c:v>
                </c:pt>
                <c:pt idx="75">
                  <c:v>120</c:v>
                </c:pt>
                <c:pt idx="76">
                  <c:v>120.8</c:v>
                </c:pt>
                <c:pt idx="77">
                  <c:v>121.6</c:v>
                </c:pt>
                <c:pt idx="78">
                  <c:v>122.4</c:v>
                </c:pt>
                <c:pt idx="79">
                  <c:v>123.2</c:v>
                </c:pt>
                <c:pt idx="80">
                  <c:v>124</c:v>
                </c:pt>
                <c:pt idx="81">
                  <c:v>124.8</c:v>
                </c:pt>
                <c:pt idx="82">
                  <c:v>125.6</c:v>
                </c:pt>
                <c:pt idx="83">
                  <c:v>126.4</c:v>
                </c:pt>
                <c:pt idx="84">
                  <c:v>127.2</c:v>
                </c:pt>
                <c:pt idx="85">
                  <c:v>128</c:v>
                </c:pt>
                <c:pt idx="86">
                  <c:v>128.80000000000001</c:v>
                </c:pt>
                <c:pt idx="87">
                  <c:v>129.6</c:v>
                </c:pt>
                <c:pt idx="88">
                  <c:v>130.4</c:v>
                </c:pt>
                <c:pt idx="89">
                  <c:v>131.19999999999999</c:v>
                </c:pt>
                <c:pt idx="90">
                  <c:v>132</c:v>
                </c:pt>
                <c:pt idx="91">
                  <c:v>132.80000000000001</c:v>
                </c:pt>
                <c:pt idx="92">
                  <c:v>133.6</c:v>
                </c:pt>
                <c:pt idx="93">
                  <c:v>134.4</c:v>
                </c:pt>
                <c:pt idx="94">
                  <c:v>135.19999999999999</c:v>
                </c:pt>
                <c:pt idx="95">
                  <c:v>136</c:v>
                </c:pt>
                <c:pt idx="96">
                  <c:v>136.80000000000001</c:v>
                </c:pt>
                <c:pt idx="97">
                  <c:v>137.6</c:v>
                </c:pt>
                <c:pt idx="98">
                  <c:v>138.4</c:v>
                </c:pt>
                <c:pt idx="99">
                  <c:v>139.19999999999999</c:v>
                </c:pt>
                <c:pt idx="100">
                  <c:v>140</c:v>
                </c:pt>
              </c:numCache>
            </c:numRef>
          </c:xVal>
          <c:yVal>
            <c:numRef>
              <c:f>'Option Strategy'!$U$4:$DQ$4</c:f>
              <c:numCache>
                <c:formatCode>General</c:formatCode>
                <c:ptCount val="101"/>
                <c:pt idx="0">
                  <c:v>-1005.3046663074276</c:v>
                </c:pt>
                <c:pt idx="1">
                  <c:v>-982.90466630742776</c:v>
                </c:pt>
                <c:pt idx="2">
                  <c:v>-960.50466630742767</c:v>
                </c:pt>
                <c:pt idx="3">
                  <c:v>-938.10466630742758</c:v>
                </c:pt>
                <c:pt idx="4">
                  <c:v>-915.70466630742749</c:v>
                </c:pt>
                <c:pt idx="5">
                  <c:v>-893.30466630742762</c:v>
                </c:pt>
                <c:pt idx="6">
                  <c:v>-870.90466630742776</c:v>
                </c:pt>
                <c:pt idx="7">
                  <c:v>-848.50466630742767</c:v>
                </c:pt>
                <c:pt idx="8">
                  <c:v>-826.10466630742735</c:v>
                </c:pt>
                <c:pt idx="9">
                  <c:v>-803.70466630742749</c:v>
                </c:pt>
                <c:pt idx="10">
                  <c:v>-781.30466630742762</c:v>
                </c:pt>
                <c:pt idx="11">
                  <c:v>-758.90466630742776</c:v>
                </c:pt>
                <c:pt idx="12">
                  <c:v>-736.50466630742767</c:v>
                </c:pt>
                <c:pt idx="13">
                  <c:v>-714.10466630742735</c:v>
                </c:pt>
                <c:pt idx="14">
                  <c:v>-691.70466630742749</c:v>
                </c:pt>
                <c:pt idx="15">
                  <c:v>-669.30466630742762</c:v>
                </c:pt>
                <c:pt idx="16">
                  <c:v>-646.90466630742776</c:v>
                </c:pt>
                <c:pt idx="17">
                  <c:v>-624.50466630742767</c:v>
                </c:pt>
                <c:pt idx="18">
                  <c:v>-602.10466630742735</c:v>
                </c:pt>
                <c:pt idx="19">
                  <c:v>-579.70466630742749</c:v>
                </c:pt>
                <c:pt idx="20">
                  <c:v>-557.30466630742762</c:v>
                </c:pt>
                <c:pt idx="21">
                  <c:v>-534.90466630742776</c:v>
                </c:pt>
                <c:pt idx="22">
                  <c:v>-512.50466630742767</c:v>
                </c:pt>
                <c:pt idx="23">
                  <c:v>-490.10466630742741</c:v>
                </c:pt>
                <c:pt idx="24">
                  <c:v>-467.70466630742743</c:v>
                </c:pt>
                <c:pt idx="25">
                  <c:v>-445.30466630742757</c:v>
                </c:pt>
                <c:pt idx="26">
                  <c:v>-422.9046663074277</c:v>
                </c:pt>
                <c:pt idx="27">
                  <c:v>-400.50466630742773</c:v>
                </c:pt>
                <c:pt idx="28">
                  <c:v>-378.10466630742741</c:v>
                </c:pt>
                <c:pt idx="29">
                  <c:v>-355.70466630742749</c:v>
                </c:pt>
                <c:pt idx="30">
                  <c:v>-333.30466630742757</c:v>
                </c:pt>
                <c:pt idx="31">
                  <c:v>-310.90466630742765</c:v>
                </c:pt>
                <c:pt idx="32">
                  <c:v>-288.50466630742773</c:v>
                </c:pt>
                <c:pt idx="33">
                  <c:v>-266.10466630742741</c:v>
                </c:pt>
                <c:pt idx="34">
                  <c:v>-243.70466630742749</c:v>
                </c:pt>
                <c:pt idx="35">
                  <c:v>-221.30466630742757</c:v>
                </c:pt>
                <c:pt idx="36">
                  <c:v>-198.90466630742765</c:v>
                </c:pt>
                <c:pt idx="37">
                  <c:v>-176.50466630742773</c:v>
                </c:pt>
                <c:pt idx="38">
                  <c:v>-154.10466630742741</c:v>
                </c:pt>
                <c:pt idx="39">
                  <c:v>-131.70466630742749</c:v>
                </c:pt>
                <c:pt idx="40">
                  <c:v>-109.30466630742757</c:v>
                </c:pt>
                <c:pt idx="41">
                  <c:v>-86.904666307427647</c:v>
                </c:pt>
                <c:pt idx="42">
                  <c:v>-64.504666307427726</c:v>
                </c:pt>
                <c:pt idx="43">
                  <c:v>-42.104666307427408</c:v>
                </c:pt>
                <c:pt idx="44">
                  <c:v>-19.704666307427487</c:v>
                </c:pt>
                <c:pt idx="45">
                  <c:v>2.6953336925724329</c:v>
                </c:pt>
                <c:pt idx="46">
                  <c:v>25.095333692572353</c:v>
                </c:pt>
                <c:pt idx="47">
                  <c:v>47.495333692572274</c:v>
                </c:pt>
                <c:pt idx="48">
                  <c:v>69.895333692572592</c:v>
                </c:pt>
                <c:pt idx="49">
                  <c:v>92.295333692572513</c:v>
                </c:pt>
                <c:pt idx="50">
                  <c:v>114.69533369257243</c:v>
                </c:pt>
                <c:pt idx="51">
                  <c:v>100.29533369257247</c:v>
                </c:pt>
                <c:pt idx="52">
                  <c:v>85.895333692572535</c:v>
                </c:pt>
                <c:pt idx="53">
                  <c:v>71.495333692572331</c:v>
                </c:pt>
                <c:pt idx="54">
                  <c:v>57.095333692572382</c:v>
                </c:pt>
                <c:pt idx="55">
                  <c:v>42.695333692572419</c:v>
                </c:pt>
                <c:pt idx="56">
                  <c:v>28.29533369257247</c:v>
                </c:pt>
                <c:pt idx="57">
                  <c:v>13.895333692572564</c:v>
                </c:pt>
                <c:pt idx="58">
                  <c:v>-0.50466630742764096</c:v>
                </c:pt>
                <c:pt idx="59">
                  <c:v>-14.904666307427647</c:v>
                </c:pt>
                <c:pt idx="60">
                  <c:v>-29.304666307427624</c:v>
                </c:pt>
                <c:pt idx="61">
                  <c:v>-43.704666307427544</c:v>
                </c:pt>
                <c:pt idx="62">
                  <c:v>-58.104666307427522</c:v>
                </c:pt>
                <c:pt idx="63">
                  <c:v>-72.504666307427726</c:v>
                </c:pt>
                <c:pt idx="64">
                  <c:v>-86.904666307427647</c:v>
                </c:pt>
                <c:pt idx="65">
                  <c:v>-101.30466630742762</c:v>
                </c:pt>
                <c:pt idx="66">
                  <c:v>-115.70466630742766</c:v>
                </c:pt>
                <c:pt idx="67">
                  <c:v>-130.10466630742746</c:v>
                </c:pt>
                <c:pt idx="68">
                  <c:v>-144.50466630742767</c:v>
                </c:pt>
                <c:pt idx="69">
                  <c:v>-158.90466630742759</c:v>
                </c:pt>
                <c:pt idx="70">
                  <c:v>-173.30466630742762</c:v>
                </c:pt>
                <c:pt idx="71">
                  <c:v>-187.70466630742766</c:v>
                </c:pt>
                <c:pt idx="72">
                  <c:v>-202.10466630742746</c:v>
                </c:pt>
                <c:pt idx="73">
                  <c:v>-216.50466630742767</c:v>
                </c:pt>
                <c:pt idx="74">
                  <c:v>-230.90466630742742</c:v>
                </c:pt>
                <c:pt idx="75">
                  <c:v>-245.30466630742751</c:v>
                </c:pt>
                <c:pt idx="76">
                  <c:v>-259.7046663074276</c:v>
                </c:pt>
                <c:pt idx="77">
                  <c:v>-274.10466630742724</c:v>
                </c:pt>
                <c:pt idx="78">
                  <c:v>-288.50466630742778</c:v>
                </c:pt>
                <c:pt idx="79">
                  <c:v>-302.90466630742753</c:v>
                </c:pt>
                <c:pt idx="80">
                  <c:v>-317.30466630742785</c:v>
                </c:pt>
                <c:pt idx="81">
                  <c:v>-331.70466630742749</c:v>
                </c:pt>
                <c:pt idx="82">
                  <c:v>-346.10466630742724</c:v>
                </c:pt>
                <c:pt idx="83">
                  <c:v>-360.50466630742778</c:v>
                </c:pt>
                <c:pt idx="84">
                  <c:v>-374.90466630742753</c:v>
                </c:pt>
                <c:pt idx="85">
                  <c:v>-389.30466630742785</c:v>
                </c:pt>
                <c:pt idx="86">
                  <c:v>-403.70466630742771</c:v>
                </c:pt>
                <c:pt idx="87">
                  <c:v>-418.10466630742724</c:v>
                </c:pt>
                <c:pt idx="88">
                  <c:v>-432.50466630742778</c:v>
                </c:pt>
                <c:pt idx="89">
                  <c:v>-446.90466630742731</c:v>
                </c:pt>
                <c:pt idx="90">
                  <c:v>-461.30466630742785</c:v>
                </c:pt>
                <c:pt idx="91">
                  <c:v>-475.70466630742771</c:v>
                </c:pt>
                <c:pt idx="92">
                  <c:v>-490.10466630742724</c:v>
                </c:pt>
                <c:pt idx="93">
                  <c:v>-504.50466630742778</c:v>
                </c:pt>
                <c:pt idx="94">
                  <c:v>-518.90466630742731</c:v>
                </c:pt>
                <c:pt idx="95">
                  <c:v>-533.30466630742785</c:v>
                </c:pt>
                <c:pt idx="96">
                  <c:v>-547.70466630742771</c:v>
                </c:pt>
                <c:pt idx="97">
                  <c:v>-562.10466630742735</c:v>
                </c:pt>
                <c:pt idx="98">
                  <c:v>-576.50466630742767</c:v>
                </c:pt>
                <c:pt idx="99">
                  <c:v>-590.90466630742731</c:v>
                </c:pt>
                <c:pt idx="100">
                  <c:v>-605.30466630742785</c:v>
                </c:pt>
              </c:numCache>
            </c:numRef>
          </c:yVal>
          <c:smooth val="1"/>
          <c:extLst>
            <c:ext xmlns:c16="http://schemas.microsoft.com/office/drawing/2014/chart" uri="{C3380CC4-5D6E-409C-BE32-E72D297353CC}">
              <c16:uniqueId val="{00000003-5983-C84C-B040-DF0D1E20DADA}"/>
            </c:ext>
          </c:extLst>
        </c:ser>
        <c:dLbls>
          <c:showLegendKey val="0"/>
          <c:showVal val="0"/>
          <c:showCatName val="0"/>
          <c:showSerName val="0"/>
          <c:showPercent val="0"/>
          <c:showBubbleSize val="0"/>
        </c:dLbls>
        <c:axId val="1078008047"/>
        <c:axId val="600166431"/>
      </c:scatterChart>
      <c:valAx>
        <c:axId val="1075388607"/>
        <c:scaling>
          <c:orientation val="minMax"/>
          <c:max val="140"/>
          <c:min val="6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FR"/>
          </a:p>
        </c:txPr>
        <c:crossAx val="1075390239"/>
        <c:crosses val="autoZero"/>
        <c:crossBetween val="midCat"/>
      </c:valAx>
      <c:valAx>
        <c:axId val="10753902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FR"/>
          </a:p>
        </c:txPr>
        <c:crossAx val="1075388607"/>
        <c:crosses val="autoZero"/>
        <c:crossBetween val="midCat"/>
      </c:valAx>
      <c:valAx>
        <c:axId val="600166431"/>
        <c:scaling>
          <c:orientation val="minMax"/>
        </c:scaling>
        <c:delete val="0"/>
        <c:axPos val="r"/>
        <c:numFmt formatCode="General" sourceLinked="1"/>
        <c:majorTickMark val="out"/>
        <c:minorTickMark val="none"/>
        <c:tickLblPos val="nextTo"/>
        <c:crossAx val="1078008047"/>
        <c:crosses val="max"/>
        <c:crossBetween val="midCat"/>
      </c:valAx>
      <c:valAx>
        <c:axId val="1078008047"/>
        <c:scaling>
          <c:orientation val="minMax"/>
        </c:scaling>
        <c:delete val="1"/>
        <c:axPos val="b"/>
        <c:numFmt formatCode="General" sourceLinked="1"/>
        <c:majorTickMark val="out"/>
        <c:minorTickMark val="none"/>
        <c:tickLblPos val="nextTo"/>
        <c:crossAx val="600166431"/>
        <c:crosses val="autoZero"/>
        <c:crossBetween val="midCat"/>
      </c:valAx>
    </c:plotArea>
    <c:plotVisOnly val="1"/>
    <c:dispBlanksAs val="gap"/>
    <c:showDLblsOverMax val="0"/>
    <c:extLst/>
  </c:chart>
  <c:txPr>
    <a:bodyPr/>
    <a:lstStyle/>
    <a:p>
      <a:pPr>
        <a:defRPr/>
      </a:pPr>
      <a:endParaRPr lang="en-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Payoff (Blue)  /  P&amp;L (Red)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FR"/>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'Option Strategy'!$U$3:$DQ$3</c:f>
              <c:numCache>
                <c:formatCode>General</c:formatCode>
                <c:ptCount val="101"/>
                <c:pt idx="0">
                  <c:v>60</c:v>
                </c:pt>
                <c:pt idx="1">
                  <c:v>60.8</c:v>
                </c:pt>
                <c:pt idx="2">
                  <c:v>61.6</c:v>
                </c:pt>
                <c:pt idx="3">
                  <c:v>62.4</c:v>
                </c:pt>
                <c:pt idx="4">
                  <c:v>63.2</c:v>
                </c:pt>
                <c:pt idx="5">
                  <c:v>64</c:v>
                </c:pt>
                <c:pt idx="6">
                  <c:v>64.8</c:v>
                </c:pt>
                <c:pt idx="7">
                  <c:v>65.599999999999994</c:v>
                </c:pt>
                <c:pt idx="8">
                  <c:v>66.400000000000006</c:v>
                </c:pt>
                <c:pt idx="9">
                  <c:v>67.2</c:v>
                </c:pt>
                <c:pt idx="10">
                  <c:v>68</c:v>
                </c:pt>
                <c:pt idx="11">
                  <c:v>68.8</c:v>
                </c:pt>
                <c:pt idx="12">
                  <c:v>69.599999999999994</c:v>
                </c:pt>
                <c:pt idx="13">
                  <c:v>70.400000000000006</c:v>
                </c:pt>
                <c:pt idx="14">
                  <c:v>71.2</c:v>
                </c:pt>
                <c:pt idx="15">
                  <c:v>72</c:v>
                </c:pt>
                <c:pt idx="16">
                  <c:v>72.8</c:v>
                </c:pt>
                <c:pt idx="17">
                  <c:v>73.599999999999994</c:v>
                </c:pt>
                <c:pt idx="18">
                  <c:v>74.400000000000006</c:v>
                </c:pt>
                <c:pt idx="19">
                  <c:v>75.2</c:v>
                </c:pt>
                <c:pt idx="20">
                  <c:v>76</c:v>
                </c:pt>
                <c:pt idx="21">
                  <c:v>76.8</c:v>
                </c:pt>
                <c:pt idx="22">
                  <c:v>77.599999999999994</c:v>
                </c:pt>
                <c:pt idx="23">
                  <c:v>78.400000000000006</c:v>
                </c:pt>
                <c:pt idx="24">
                  <c:v>79.2</c:v>
                </c:pt>
                <c:pt idx="25">
                  <c:v>80</c:v>
                </c:pt>
                <c:pt idx="26">
                  <c:v>80.8</c:v>
                </c:pt>
                <c:pt idx="27">
                  <c:v>81.599999999999994</c:v>
                </c:pt>
                <c:pt idx="28">
                  <c:v>82.4</c:v>
                </c:pt>
                <c:pt idx="29">
                  <c:v>83.2</c:v>
                </c:pt>
                <c:pt idx="30">
                  <c:v>84</c:v>
                </c:pt>
                <c:pt idx="31">
                  <c:v>84.8</c:v>
                </c:pt>
                <c:pt idx="32">
                  <c:v>85.6</c:v>
                </c:pt>
                <c:pt idx="33">
                  <c:v>86.4</c:v>
                </c:pt>
                <c:pt idx="34">
                  <c:v>87.2</c:v>
                </c:pt>
                <c:pt idx="35">
                  <c:v>88</c:v>
                </c:pt>
                <c:pt idx="36">
                  <c:v>88.8</c:v>
                </c:pt>
                <c:pt idx="37">
                  <c:v>89.6</c:v>
                </c:pt>
                <c:pt idx="38">
                  <c:v>90.4</c:v>
                </c:pt>
                <c:pt idx="39">
                  <c:v>91.2</c:v>
                </c:pt>
                <c:pt idx="40">
                  <c:v>92</c:v>
                </c:pt>
                <c:pt idx="41">
                  <c:v>92.8</c:v>
                </c:pt>
                <c:pt idx="42">
                  <c:v>93.6</c:v>
                </c:pt>
                <c:pt idx="43">
                  <c:v>94.4</c:v>
                </c:pt>
                <c:pt idx="44">
                  <c:v>95.2</c:v>
                </c:pt>
                <c:pt idx="45">
                  <c:v>96</c:v>
                </c:pt>
                <c:pt idx="46">
                  <c:v>96.8</c:v>
                </c:pt>
                <c:pt idx="47">
                  <c:v>97.6</c:v>
                </c:pt>
                <c:pt idx="48">
                  <c:v>98.4</c:v>
                </c:pt>
                <c:pt idx="49">
                  <c:v>99.2</c:v>
                </c:pt>
                <c:pt idx="50">
                  <c:v>100</c:v>
                </c:pt>
                <c:pt idx="51">
                  <c:v>100.8</c:v>
                </c:pt>
                <c:pt idx="52">
                  <c:v>101.6</c:v>
                </c:pt>
                <c:pt idx="53">
                  <c:v>102.4</c:v>
                </c:pt>
                <c:pt idx="54">
                  <c:v>103.2</c:v>
                </c:pt>
                <c:pt idx="55">
                  <c:v>104</c:v>
                </c:pt>
                <c:pt idx="56">
                  <c:v>104.8</c:v>
                </c:pt>
                <c:pt idx="57">
                  <c:v>105.6</c:v>
                </c:pt>
                <c:pt idx="58">
                  <c:v>106.4</c:v>
                </c:pt>
                <c:pt idx="59">
                  <c:v>107.2</c:v>
                </c:pt>
                <c:pt idx="60">
                  <c:v>108</c:v>
                </c:pt>
                <c:pt idx="61">
                  <c:v>108.8</c:v>
                </c:pt>
                <c:pt idx="62">
                  <c:v>109.6</c:v>
                </c:pt>
                <c:pt idx="63">
                  <c:v>110.4</c:v>
                </c:pt>
                <c:pt idx="64">
                  <c:v>111.2</c:v>
                </c:pt>
                <c:pt idx="65">
                  <c:v>112</c:v>
                </c:pt>
                <c:pt idx="66">
                  <c:v>112.8</c:v>
                </c:pt>
                <c:pt idx="67">
                  <c:v>113.6</c:v>
                </c:pt>
                <c:pt idx="68">
                  <c:v>114.4</c:v>
                </c:pt>
                <c:pt idx="69">
                  <c:v>115.2</c:v>
                </c:pt>
                <c:pt idx="70">
                  <c:v>116</c:v>
                </c:pt>
                <c:pt idx="71">
                  <c:v>116.8</c:v>
                </c:pt>
                <c:pt idx="72">
                  <c:v>117.6</c:v>
                </c:pt>
                <c:pt idx="73">
                  <c:v>118.4</c:v>
                </c:pt>
                <c:pt idx="74">
                  <c:v>119.2</c:v>
                </c:pt>
                <c:pt idx="75">
                  <c:v>120</c:v>
                </c:pt>
                <c:pt idx="76">
                  <c:v>120.8</c:v>
                </c:pt>
                <c:pt idx="77">
                  <c:v>121.6</c:v>
                </c:pt>
                <c:pt idx="78">
                  <c:v>122.4</c:v>
                </c:pt>
                <c:pt idx="79">
                  <c:v>123.2</c:v>
                </c:pt>
                <c:pt idx="80">
                  <c:v>124</c:v>
                </c:pt>
                <c:pt idx="81">
                  <c:v>124.8</c:v>
                </c:pt>
                <c:pt idx="82">
                  <c:v>125.6</c:v>
                </c:pt>
                <c:pt idx="83">
                  <c:v>126.4</c:v>
                </c:pt>
                <c:pt idx="84">
                  <c:v>127.2</c:v>
                </c:pt>
                <c:pt idx="85">
                  <c:v>128</c:v>
                </c:pt>
                <c:pt idx="86">
                  <c:v>128.80000000000001</c:v>
                </c:pt>
                <c:pt idx="87">
                  <c:v>129.6</c:v>
                </c:pt>
                <c:pt idx="88">
                  <c:v>130.4</c:v>
                </c:pt>
                <c:pt idx="89">
                  <c:v>131.19999999999999</c:v>
                </c:pt>
                <c:pt idx="90">
                  <c:v>132</c:v>
                </c:pt>
                <c:pt idx="91">
                  <c:v>132.80000000000001</c:v>
                </c:pt>
                <c:pt idx="92">
                  <c:v>133.6</c:v>
                </c:pt>
                <c:pt idx="93">
                  <c:v>134.4</c:v>
                </c:pt>
                <c:pt idx="94">
                  <c:v>135.19999999999999</c:v>
                </c:pt>
                <c:pt idx="95">
                  <c:v>136</c:v>
                </c:pt>
                <c:pt idx="96">
                  <c:v>136.80000000000001</c:v>
                </c:pt>
                <c:pt idx="97">
                  <c:v>137.6</c:v>
                </c:pt>
                <c:pt idx="98">
                  <c:v>138.4</c:v>
                </c:pt>
                <c:pt idx="99">
                  <c:v>139.19999999999999</c:v>
                </c:pt>
                <c:pt idx="100">
                  <c:v>140</c:v>
                </c:pt>
              </c:numCache>
            </c:numRef>
          </c:xVal>
          <c:yVal>
            <c:numRef>
              <c:f>'Option Strategy'!$U$4:$DQ$4</c:f>
              <c:numCache>
                <c:formatCode>General</c:formatCode>
                <c:ptCount val="101"/>
                <c:pt idx="0">
                  <c:v>-1005.3046663074276</c:v>
                </c:pt>
                <c:pt idx="1">
                  <c:v>-982.90466630742776</c:v>
                </c:pt>
                <c:pt idx="2">
                  <c:v>-960.50466630742767</c:v>
                </c:pt>
                <c:pt idx="3">
                  <c:v>-938.10466630742758</c:v>
                </c:pt>
                <c:pt idx="4">
                  <c:v>-915.70466630742749</c:v>
                </c:pt>
                <c:pt idx="5">
                  <c:v>-893.30466630742762</c:v>
                </c:pt>
                <c:pt idx="6">
                  <c:v>-870.90466630742776</c:v>
                </c:pt>
                <c:pt idx="7">
                  <c:v>-848.50466630742767</c:v>
                </c:pt>
                <c:pt idx="8">
                  <c:v>-826.10466630742735</c:v>
                </c:pt>
                <c:pt idx="9">
                  <c:v>-803.70466630742749</c:v>
                </c:pt>
                <c:pt idx="10">
                  <c:v>-781.30466630742762</c:v>
                </c:pt>
                <c:pt idx="11">
                  <c:v>-758.90466630742776</c:v>
                </c:pt>
                <c:pt idx="12">
                  <c:v>-736.50466630742767</c:v>
                </c:pt>
                <c:pt idx="13">
                  <c:v>-714.10466630742735</c:v>
                </c:pt>
                <c:pt idx="14">
                  <c:v>-691.70466630742749</c:v>
                </c:pt>
                <c:pt idx="15">
                  <c:v>-669.30466630742762</c:v>
                </c:pt>
                <c:pt idx="16">
                  <c:v>-646.90466630742776</c:v>
                </c:pt>
                <c:pt idx="17">
                  <c:v>-624.50466630742767</c:v>
                </c:pt>
                <c:pt idx="18">
                  <c:v>-602.10466630742735</c:v>
                </c:pt>
                <c:pt idx="19">
                  <c:v>-579.70466630742749</c:v>
                </c:pt>
                <c:pt idx="20">
                  <c:v>-557.30466630742762</c:v>
                </c:pt>
                <c:pt idx="21">
                  <c:v>-534.90466630742776</c:v>
                </c:pt>
                <c:pt idx="22">
                  <c:v>-512.50466630742767</c:v>
                </c:pt>
                <c:pt idx="23">
                  <c:v>-490.10466630742741</c:v>
                </c:pt>
                <c:pt idx="24">
                  <c:v>-467.70466630742743</c:v>
                </c:pt>
                <c:pt idx="25">
                  <c:v>-445.30466630742757</c:v>
                </c:pt>
                <c:pt idx="26">
                  <c:v>-422.9046663074277</c:v>
                </c:pt>
                <c:pt idx="27">
                  <c:v>-400.50466630742773</c:v>
                </c:pt>
                <c:pt idx="28">
                  <c:v>-378.10466630742741</c:v>
                </c:pt>
                <c:pt idx="29">
                  <c:v>-355.70466630742749</c:v>
                </c:pt>
                <c:pt idx="30">
                  <c:v>-333.30466630742757</c:v>
                </c:pt>
                <c:pt idx="31">
                  <c:v>-310.90466630742765</c:v>
                </c:pt>
                <c:pt idx="32">
                  <c:v>-288.50466630742773</c:v>
                </c:pt>
                <c:pt idx="33">
                  <c:v>-266.10466630742741</c:v>
                </c:pt>
                <c:pt idx="34">
                  <c:v>-243.70466630742749</c:v>
                </c:pt>
                <c:pt idx="35">
                  <c:v>-221.30466630742757</c:v>
                </c:pt>
                <c:pt idx="36">
                  <c:v>-198.90466630742765</c:v>
                </c:pt>
                <c:pt idx="37">
                  <c:v>-176.50466630742773</c:v>
                </c:pt>
                <c:pt idx="38">
                  <c:v>-154.10466630742741</c:v>
                </c:pt>
                <c:pt idx="39">
                  <c:v>-131.70466630742749</c:v>
                </c:pt>
                <c:pt idx="40">
                  <c:v>-109.30466630742757</c:v>
                </c:pt>
                <c:pt idx="41">
                  <c:v>-86.904666307427647</c:v>
                </c:pt>
                <c:pt idx="42">
                  <c:v>-64.504666307427726</c:v>
                </c:pt>
                <c:pt idx="43">
                  <c:v>-42.104666307427408</c:v>
                </c:pt>
                <c:pt idx="44">
                  <c:v>-19.704666307427487</c:v>
                </c:pt>
                <c:pt idx="45">
                  <c:v>2.6953336925724329</c:v>
                </c:pt>
                <c:pt idx="46">
                  <c:v>25.095333692572353</c:v>
                </c:pt>
                <c:pt idx="47">
                  <c:v>47.495333692572274</c:v>
                </c:pt>
                <c:pt idx="48">
                  <c:v>69.895333692572592</c:v>
                </c:pt>
                <c:pt idx="49">
                  <c:v>92.295333692572513</c:v>
                </c:pt>
                <c:pt idx="50">
                  <c:v>114.69533369257243</c:v>
                </c:pt>
                <c:pt idx="51">
                  <c:v>100.29533369257247</c:v>
                </c:pt>
                <c:pt idx="52">
                  <c:v>85.895333692572535</c:v>
                </c:pt>
                <c:pt idx="53">
                  <c:v>71.495333692572331</c:v>
                </c:pt>
                <c:pt idx="54">
                  <c:v>57.095333692572382</c:v>
                </c:pt>
                <c:pt idx="55">
                  <c:v>42.695333692572419</c:v>
                </c:pt>
                <c:pt idx="56">
                  <c:v>28.29533369257247</c:v>
                </c:pt>
                <c:pt idx="57">
                  <c:v>13.895333692572564</c:v>
                </c:pt>
                <c:pt idx="58">
                  <c:v>-0.50466630742764096</c:v>
                </c:pt>
                <c:pt idx="59">
                  <c:v>-14.904666307427647</c:v>
                </c:pt>
                <c:pt idx="60">
                  <c:v>-29.304666307427624</c:v>
                </c:pt>
                <c:pt idx="61">
                  <c:v>-43.704666307427544</c:v>
                </c:pt>
                <c:pt idx="62">
                  <c:v>-58.104666307427522</c:v>
                </c:pt>
                <c:pt idx="63">
                  <c:v>-72.504666307427726</c:v>
                </c:pt>
                <c:pt idx="64">
                  <c:v>-86.904666307427647</c:v>
                </c:pt>
                <c:pt idx="65">
                  <c:v>-101.30466630742762</c:v>
                </c:pt>
                <c:pt idx="66">
                  <c:v>-115.70466630742766</c:v>
                </c:pt>
                <c:pt idx="67">
                  <c:v>-130.10466630742746</c:v>
                </c:pt>
                <c:pt idx="68">
                  <c:v>-144.50466630742767</c:v>
                </c:pt>
                <c:pt idx="69">
                  <c:v>-158.90466630742759</c:v>
                </c:pt>
                <c:pt idx="70">
                  <c:v>-173.30466630742762</c:v>
                </c:pt>
                <c:pt idx="71">
                  <c:v>-187.70466630742766</c:v>
                </c:pt>
                <c:pt idx="72">
                  <c:v>-202.10466630742746</c:v>
                </c:pt>
                <c:pt idx="73">
                  <c:v>-216.50466630742767</c:v>
                </c:pt>
                <c:pt idx="74">
                  <c:v>-230.90466630742742</c:v>
                </c:pt>
                <c:pt idx="75">
                  <c:v>-245.30466630742751</c:v>
                </c:pt>
                <c:pt idx="76">
                  <c:v>-259.7046663074276</c:v>
                </c:pt>
                <c:pt idx="77">
                  <c:v>-274.10466630742724</c:v>
                </c:pt>
                <c:pt idx="78">
                  <c:v>-288.50466630742778</c:v>
                </c:pt>
                <c:pt idx="79">
                  <c:v>-302.90466630742753</c:v>
                </c:pt>
                <c:pt idx="80">
                  <c:v>-317.30466630742785</c:v>
                </c:pt>
                <c:pt idx="81">
                  <c:v>-331.70466630742749</c:v>
                </c:pt>
                <c:pt idx="82">
                  <c:v>-346.10466630742724</c:v>
                </c:pt>
                <c:pt idx="83">
                  <c:v>-360.50466630742778</c:v>
                </c:pt>
                <c:pt idx="84">
                  <c:v>-374.90466630742753</c:v>
                </c:pt>
                <c:pt idx="85">
                  <c:v>-389.30466630742785</c:v>
                </c:pt>
                <c:pt idx="86">
                  <c:v>-403.70466630742771</c:v>
                </c:pt>
                <c:pt idx="87">
                  <c:v>-418.10466630742724</c:v>
                </c:pt>
                <c:pt idx="88">
                  <c:v>-432.50466630742778</c:v>
                </c:pt>
                <c:pt idx="89">
                  <c:v>-446.90466630742731</c:v>
                </c:pt>
                <c:pt idx="90">
                  <c:v>-461.30466630742785</c:v>
                </c:pt>
                <c:pt idx="91">
                  <c:v>-475.70466630742771</c:v>
                </c:pt>
                <c:pt idx="92">
                  <c:v>-490.10466630742724</c:v>
                </c:pt>
                <c:pt idx="93">
                  <c:v>-504.50466630742778</c:v>
                </c:pt>
                <c:pt idx="94">
                  <c:v>-518.90466630742731</c:v>
                </c:pt>
                <c:pt idx="95">
                  <c:v>-533.30466630742785</c:v>
                </c:pt>
                <c:pt idx="96">
                  <c:v>-547.70466630742771</c:v>
                </c:pt>
                <c:pt idx="97">
                  <c:v>-562.10466630742735</c:v>
                </c:pt>
                <c:pt idx="98">
                  <c:v>-576.50466630742767</c:v>
                </c:pt>
                <c:pt idx="99">
                  <c:v>-590.90466630742731</c:v>
                </c:pt>
                <c:pt idx="100">
                  <c:v>-605.30466630742785</c:v>
                </c:pt>
              </c:numCache>
            </c:numRef>
          </c:yVal>
          <c:smooth val="1"/>
          <c:extLst>
            <c:ext xmlns:c16="http://schemas.microsoft.com/office/drawing/2014/chart" uri="{C3380CC4-5D6E-409C-BE32-E72D297353CC}">
              <c16:uniqueId val="{00000000-F0B6-2344-BE42-F22F717E33E5}"/>
            </c:ext>
          </c:extLst>
        </c:ser>
        <c:ser>
          <c:idx val="1"/>
          <c:order val="1"/>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'Option Strategy'!$U$3:$DQ$3</c:f>
              <c:numCache>
                <c:formatCode>General</c:formatCode>
                <c:ptCount val="101"/>
                <c:pt idx="0">
                  <c:v>60</c:v>
                </c:pt>
                <c:pt idx="1">
                  <c:v>60.8</c:v>
                </c:pt>
                <c:pt idx="2">
                  <c:v>61.6</c:v>
                </c:pt>
                <c:pt idx="3">
                  <c:v>62.4</c:v>
                </c:pt>
                <c:pt idx="4">
                  <c:v>63.2</c:v>
                </c:pt>
                <c:pt idx="5">
                  <c:v>64</c:v>
                </c:pt>
                <c:pt idx="6">
                  <c:v>64.8</c:v>
                </c:pt>
                <c:pt idx="7">
                  <c:v>65.599999999999994</c:v>
                </c:pt>
                <c:pt idx="8">
                  <c:v>66.400000000000006</c:v>
                </c:pt>
                <c:pt idx="9">
                  <c:v>67.2</c:v>
                </c:pt>
                <c:pt idx="10">
                  <c:v>68</c:v>
                </c:pt>
                <c:pt idx="11">
                  <c:v>68.8</c:v>
                </c:pt>
                <c:pt idx="12">
                  <c:v>69.599999999999994</c:v>
                </c:pt>
                <c:pt idx="13">
                  <c:v>70.400000000000006</c:v>
                </c:pt>
                <c:pt idx="14">
                  <c:v>71.2</c:v>
                </c:pt>
                <c:pt idx="15">
                  <c:v>72</c:v>
                </c:pt>
                <c:pt idx="16">
                  <c:v>72.8</c:v>
                </c:pt>
                <c:pt idx="17">
                  <c:v>73.599999999999994</c:v>
                </c:pt>
                <c:pt idx="18">
                  <c:v>74.400000000000006</c:v>
                </c:pt>
                <c:pt idx="19">
                  <c:v>75.2</c:v>
                </c:pt>
                <c:pt idx="20">
                  <c:v>76</c:v>
                </c:pt>
                <c:pt idx="21">
                  <c:v>76.8</c:v>
                </c:pt>
                <c:pt idx="22">
                  <c:v>77.599999999999994</c:v>
                </c:pt>
                <c:pt idx="23">
                  <c:v>78.400000000000006</c:v>
                </c:pt>
                <c:pt idx="24">
                  <c:v>79.2</c:v>
                </c:pt>
                <c:pt idx="25">
                  <c:v>80</c:v>
                </c:pt>
                <c:pt idx="26">
                  <c:v>80.8</c:v>
                </c:pt>
                <c:pt idx="27">
                  <c:v>81.599999999999994</c:v>
                </c:pt>
                <c:pt idx="28">
                  <c:v>82.4</c:v>
                </c:pt>
                <c:pt idx="29">
                  <c:v>83.2</c:v>
                </c:pt>
                <c:pt idx="30">
                  <c:v>84</c:v>
                </c:pt>
                <c:pt idx="31">
                  <c:v>84.8</c:v>
                </c:pt>
                <c:pt idx="32">
                  <c:v>85.6</c:v>
                </c:pt>
                <c:pt idx="33">
                  <c:v>86.4</c:v>
                </c:pt>
                <c:pt idx="34">
                  <c:v>87.2</c:v>
                </c:pt>
                <c:pt idx="35">
                  <c:v>88</c:v>
                </c:pt>
                <c:pt idx="36">
                  <c:v>88.8</c:v>
                </c:pt>
                <c:pt idx="37">
                  <c:v>89.6</c:v>
                </c:pt>
                <c:pt idx="38">
                  <c:v>90.4</c:v>
                </c:pt>
                <c:pt idx="39">
                  <c:v>91.2</c:v>
                </c:pt>
                <c:pt idx="40">
                  <c:v>92</c:v>
                </c:pt>
                <c:pt idx="41">
                  <c:v>92.8</c:v>
                </c:pt>
                <c:pt idx="42">
                  <c:v>93.6</c:v>
                </c:pt>
                <c:pt idx="43">
                  <c:v>94.4</c:v>
                </c:pt>
                <c:pt idx="44">
                  <c:v>95.2</c:v>
                </c:pt>
                <c:pt idx="45">
                  <c:v>96</c:v>
                </c:pt>
                <c:pt idx="46">
                  <c:v>96.8</c:v>
                </c:pt>
                <c:pt idx="47">
                  <c:v>97.6</c:v>
                </c:pt>
                <c:pt idx="48">
                  <c:v>98.4</c:v>
                </c:pt>
                <c:pt idx="49">
                  <c:v>99.2</c:v>
                </c:pt>
                <c:pt idx="50">
                  <c:v>100</c:v>
                </c:pt>
                <c:pt idx="51">
                  <c:v>100.8</c:v>
                </c:pt>
                <c:pt idx="52">
                  <c:v>101.6</c:v>
                </c:pt>
                <c:pt idx="53">
                  <c:v>102.4</c:v>
                </c:pt>
                <c:pt idx="54">
                  <c:v>103.2</c:v>
                </c:pt>
                <c:pt idx="55">
                  <c:v>104</c:v>
                </c:pt>
                <c:pt idx="56">
                  <c:v>104.8</c:v>
                </c:pt>
                <c:pt idx="57">
                  <c:v>105.6</c:v>
                </c:pt>
                <c:pt idx="58">
                  <c:v>106.4</c:v>
                </c:pt>
                <c:pt idx="59">
                  <c:v>107.2</c:v>
                </c:pt>
                <c:pt idx="60">
                  <c:v>108</c:v>
                </c:pt>
                <c:pt idx="61">
                  <c:v>108.8</c:v>
                </c:pt>
                <c:pt idx="62">
                  <c:v>109.6</c:v>
                </c:pt>
                <c:pt idx="63">
                  <c:v>110.4</c:v>
                </c:pt>
                <c:pt idx="64">
                  <c:v>111.2</c:v>
                </c:pt>
                <c:pt idx="65">
                  <c:v>112</c:v>
                </c:pt>
                <c:pt idx="66">
                  <c:v>112.8</c:v>
                </c:pt>
                <c:pt idx="67">
                  <c:v>113.6</c:v>
                </c:pt>
                <c:pt idx="68">
                  <c:v>114.4</c:v>
                </c:pt>
                <c:pt idx="69">
                  <c:v>115.2</c:v>
                </c:pt>
                <c:pt idx="70">
                  <c:v>116</c:v>
                </c:pt>
                <c:pt idx="71">
                  <c:v>116.8</c:v>
                </c:pt>
                <c:pt idx="72">
                  <c:v>117.6</c:v>
                </c:pt>
                <c:pt idx="73">
                  <c:v>118.4</c:v>
                </c:pt>
                <c:pt idx="74">
                  <c:v>119.2</c:v>
                </c:pt>
                <c:pt idx="75">
                  <c:v>120</c:v>
                </c:pt>
                <c:pt idx="76">
                  <c:v>120.8</c:v>
                </c:pt>
                <c:pt idx="77">
                  <c:v>121.6</c:v>
                </c:pt>
                <c:pt idx="78">
                  <c:v>122.4</c:v>
                </c:pt>
                <c:pt idx="79">
                  <c:v>123.2</c:v>
                </c:pt>
                <c:pt idx="80">
                  <c:v>124</c:v>
                </c:pt>
                <c:pt idx="81">
                  <c:v>124.8</c:v>
                </c:pt>
                <c:pt idx="82">
                  <c:v>125.6</c:v>
                </c:pt>
                <c:pt idx="83">
                  <c:v>126.4</c:v>
                </c:pt>
                <c:pt idx="84">
                  <c:v>127.2</c:v>
                </c:pt>
                <c:pt idx="85">
                  <c:v>128</c:v>
                </c:pt>
                <c:pt idx="86">
                  <c:v>128.80000000000001</c:v>
                </c:pt>
                <c:pt idx="87">
                  <c:v>129.6</c:v>
                </c:pt>
                <c:pt idx="88">
                  <c:v>130.4</c:v>
                </c:pt>
                <c:pt idx="89">
                  <c:v>131.19999999999999</c:v>
                </c:pt>
                <c:pt idx="90">
                  <c:v>132</c:v>
                </c:pt>
                <c:pt idx="91">
                  <c:v>132.80000000000001</c:v>
                </c:pt>
                <c:pt idx="92">
                  <c:v>133.6</c:v>
                </c:pt>
                <c:pt idx="93">
                  <c:v>134.4</c:v>
                </c:pt>
                <c:pt idx="94">
                  <c:v>135.19999999999999</c:v>
                </c:pt>
                <c:pt idx="95">
                  <c:v>136</c:v>
                </c:pt>
                <c:pt idx="96">
                  <c:v>136.80000000000001</c:v>
                </c:pt>
                <c:pt idx="97">
                  <c:v>137.6</c:v>
                </c:pt>
                <c:pt idx="98">
                  <c:v>138.4</c:v>
                </c:pt>
                <c:pt idx="99">
                  <c:v>139.19999999999999</c:v>
                </c:pt>
                <c:pt idx="100">
                  <c:v>140</c:v>
                </c:pt>
              </c:numCache>
            </c:numRef>
          </c:xVal>
          <c:yVal>
            <c:numRef>
              <c:f>'Option Strategy'!$U$11:$DQ$11</c:f>
              <c:numCache>
                <c:formatCode>General</c:formatCode>
                <c:ptCount val="101"/>
                <c:pt idx="0">
                  <c:v>-1005.3047030809886</c:v>
                </c:pt>
                <c:pt idx="1">
                  <c:v>-982.90474154042386</c:v>
                </c:pt>
                <c:pt idx="2">
                  <c:v>-960.50481631526407</c:v>
                </c:pt>
                <c:pt idx="3">
                  <c:v>-938.10495808437565</c:v>
                </c:pt>
                <c:pt idx="4">
                  <c:v>-915.70522042354514</c:v>
                </c:pt>
                <c:pt idx="5">
                  <c:v>-893.30569462791198</c:v>
                </c:pt>
                <c:pt idx="6">
                  <c:v>-870.90653261800094</c:v>
                </c:pt>
                <c:pt idx="7">
                  <c:v>-848.50798145183376</c:v>
                </c:pt>
                <c:pt idx="8">
                  <c:v>-826.11043404937936</c:v>
                </c:pt>
                <c:pt idx="9">
                  <c:v>-803.71450195274974</c:v>
                </c:pt>
                <c:pt idx="10">
                  <c:v>-781.32111722742661</c:v>
                </c:pt>
                <c:pt idx="11">
                  <c:v>-758.93167184907043</c:v>
                </c:pt>
                <c:pt idx="12">
                  <c:v>-736.54820396960235</c:v>
                </c:pt>
                <c:pt idx="13">
                  <c:v>-714.17364113156452</c:v>
                </c:pt>
                <c:pt idx="14">
                  <c:v>-691.81211059111979</c:v>
                </c:pt>
                <c:pt idx="15">
                  <c:v>-669.46932619692006</c:v>
                </c:pt>
                <c:pt idx="16">
                  <c:v>-647.15305954360019</c:v>
                </c:pt>
                <c:pt idx="17">
                  <c:v>-624.87370019484774</c:v>
                </c:pt>
                <c:pt idx="18">
                  <c:v>-602.64490551989559</c:v>
                </c:pt>
                <c:pt idx="19">
                  <c:v>-580.48433503227125</c:v>
                </c:pt>
                <c:pt idx="20">
                  <c:v>-558.41445703241698</c:v>
                </c:pt>
                <c:pt idx="21">
                  <c:v>-536.46340683447045</c:v>
                </c:pt>
                <c:pt idx="22">
                  <c:v>-514.66586589739597</c:v>
                </c:pt>
                <c:pt idx="23">
                  <c:v>-493.06391975779343</c:v>
                </c:pt>
                <c:pt idx="24">
                  <c:v>-471.70783976011103</c:v>
                </c:pt>
                <c:pt idx="25">
                  <c:v>-450.65671930147255</c:v>
                </c:pt>
                <c:pt idx="26">
                  <c:v>-429.97888009378431</c:v>
                </c:pt>
                <c:pt idx="27">
                  <c:v>-409.75194890546686</c:v>
                </c:pt>
                <c:pt idx="28">
                  <c:v>-390.0624925379409</c:v>
                </c:pt>
                <c:pt idx="29">
                  <c:v>-371.00509192007485</c:v>
                </c:pt>
                <c:pt idx="30">
                  <c:v>-352.68074002774324</c:v>
                </c:pt>
                <c:pt idx="31">
                  <c:v>-335.19446859981997</c:v>
                </c:pt>
                <c:pt idx="32">
                  <c:v>-318.6521508522145</c:v>
                </c:pt>
                <c:pt idx="33">
                  <c:v>-303.15649519759927</c:v>
                </c:pt>
                <c:pt idx="34">
                  <c:v>-288.80233803952194</c:v>
                </c:pt>
                <c:pt idx="35">
                  <c:v>-275.67145597344228</c:v>
                </c:pt>
                <c:pt idx="36">
                  <c:v>-263.82723650230241</c:v>
                </c:pt>
                <c:pt idx="37">
                  <c:v>-253.30965294614231</c:v>
                </c:pt>
                <c:pt idx="38">
                  <c:v>-244.13106133438589</c:v>
                </c:pt>
                <c:pt idx="39">
                  <c:v>-236.27335307871664</c:v>
                </c:pt>
                <c:pt idx="40">
                  <c:v>-229.68694122773465</c:v>
                </c:pt>
                <c:pt idx="41">
                  <c:v>-224.2919247615001</c:v>
                </c:pt>
                <c:pt idx="42">
                  <c:v>-219.98157310733288</c:v>
                </c:pt>
                <c:pt idx="43">
                  <c:v>-216.62802443567165</c:v>
                </c:pt>
                <c:pt idx="44">
                  <c:v>-214.08983025523571</c:v>
                </c:pt>
                <c:pt idx="45">
                  <c:v>-212.22074491713158</c:v>
                </c:pt>
                <c:pt idx="46">
                  <c:v>-210.87898958491957</c:v>
                </c:pt>
                <c:pt idx="47">
                  <c:v>-209.93614448413595</c:v>
                </c:pt>
                <c:pt idx="48">
                  <c:v>-209.28485427281731</c:v>
                </c:pt>
                <c:pt idx="49">
                  <c:v>-208.84466500497504</c:v>
                </c:pt>
                <c:pt idx="50">
                  <c:v>-208.56552658300359</c:v>
                </c:pt>
                <c:pt idx="51">
                  <c:v>-208.42875865075905</c:v>
                </c:pt>
                <c:pt idx="52">
                  <c:v>-208.4455515344747</c:v>
                </c:pt>
                <c:pt idx="53">
                  <c:v>-208.65331934258859</c:v>
                </c:pt>
                <c:pt idx="54">
                  <c:v>-209.11040949393339</c:v>
                </c:pt>
                <c:pt idx="55">
                  <c:v>-209.88978334124863</c:v>
                </c:pt>
                <c:pt idx="56">
                  <c:v>-211.0723111325853</c:v>
                </c:pt>
                <c:pt idx="57">
                  <c:v>-212.74027859388048</c:v>
                </c:pt>
                <c:pt idx="58">
                  <c:v>-214.97159855263141</c:v>
                </c:pt>
                <c:pt idx="59">
                  <c:v>-217.83508113458811</c:v>
                </c:pt>
                <c:pt idx="60">
                  <c:v>-221.38696304139546</c:v>
                </c:pt>
                <c:pt idx="61">
                  <c:v>-225.66875057221699</c:v>
                </c:pt>
                <c:pt idx="62">
                  <c:v>-230.70630769665365</c:v>
                </c:pt>
                <c:pt idx="63">
                  <c:v>-236.51002881766988</c:v>
                </c:pt>
                <c:pt idx="64">
                  <c:v>-243.07587906438056</c:v>
                </c:pt>
                <c:pt idx="65">
                  <c:v>-250.38706118539835</c:v>
                </c:pt>
                <c:pt idx="66">
                  <c:v>-258.41607200775326</c:v>
                </c:pt>
                <c:pt idx="67">
                  <c:v>-267.12693571338548</c:v>
                </c:pt>
                <c:pt idx="68">
                  <c:v>-276.47743814879027</c:v>
                </c:pt>
                <c:pt idx="69">
                  <c:v>-286.42122897053952</c:v>
                </c:pt>
                <c:pt idx="70">
                  <c:v>-296.90970094492991</c:v>
                </c:pt>
                <c:pt idx="71">
                  <c:v>-307.89359412779953</c:v>
                </c:pt>
                <c:pt idx="72">
                  <c:v>-319.32430455547319</c:v>
                </c:pt>
                <c:pt idx="73">
                  <c:v>-331.15490149956793</c:v>
                </c:pt>
                <c:pt idx="74">
                  <c:v>-343.34087437206426</c:v>
                </c:pt>
                <c:pt idx="75">
                  <c:v>-355.8406408207627</c:v>
                </c:pt>
                <c:pt idx="76">
                  <c:v>-368.6158526213635</c:v>
                </c:pt>
                <c:pt idx="77">
                  <c:v>-381.63153696420579</c:v>
                </c:pt>
                <c:pt idx="78">
                  <c:v>-394.85610890332566</c:v>
                </c:pt>
                <c:pt idx="79">
                  <c:v>-408.26128716186463</c:v>
                </c:pt>
                <c:pt idx="80">
                  <c:v>-421.82194102844528</c:v>
                </c:pt>
                <c:pt idx="81">
                  <c:v>-435.51589136395523</c:v>
                </c:pt>
                <c:pt idx="82">
                  <c:v>-449.32368419163447</c:v>
                </c:pt>
                <c:pt idx="83">
                  <c:v>-463.22835122155959</c:v>
                </c:pt>
                <c:pt idx="84">
                  <c:v>-477.21516809027094</c:v>
                </c:pt>
                <c:pt idx="85">
                  <c:v>-491.2714181142444</c:v>
                </c:pt>
                <c:pt idx="86">
                  <c:v>-505.38616694047278</c:v>
                </c:pt>
                <c:pt idx="87">
                  <c:v>-519.55005157319522</c:v>
                </c:pt>
                <c:pt idx="88">
                  <c:v>-533.75508579296104</c:v>
                </c:pt>
                <c:pt idx="89">
                  <c:v>-547.9944828881878</c:v>
                </c:pt>
                <c:pt idx="90">
                  <c:v>-562.26249582167748</c:v>
                </c:pt>
                <c:pt idx="91">
                  <c:v>-576.55427439165965</c:v>
                </c:pt>
                <c:pt idx="92">
                  <c:v>-590.86573856785014</c:v>
                </c:pt>
                <c:pt idx="93">
                  <c:v>-605.19346694265562</c:v>
                </c:pt>
                <c:pt idx="94">
                  <c:v>-619.53459910227843</c:v>
                </c:pt>
                <c:pt idx="95">
                  <c:v>-633.88675066351266</c:v>
                </c:pt>
                <c:pt idx="96">
                  <c:v>-648.24793971862323</c:v>
                </c:pt>
                <c:pt idx="97">
                  <c:v>-662.61652346549818</c:v>
                </c:pt>
                <c:pt idx="98">
                  <c:v>-676.99114386137717</c:v>
                </c:pt>
                <c:pt idx="99">
                  <c:v>-691.37068121565949</c:v>
                </c:pt>
                <c:pt idx="100">
                  <c:v>-705.75421472382459</c:v>
                </c:pt>
              </c:numCache>
            </c:numRef>
          </c:yVal>
          <c:smooth val="1"/>
          <c:extLst>
            <c:ext xmlns:c16="http://schemas.microsoft.com/office/drawing/2014/chart" uri="{C3380CC4-5D6E-409C-BE32-E72D297353CC}">
              <c16:uniqueId val="{00000001-0AC0-B540-9DA7-5EC2E18E1B6B}"/>
            </c:ext>
          </c:extLst>
        </c:ser>
        <c:dLbls>
          <c:showLegendKey val="0"/>
          <c:showVal val="0"/>
          <c:showCatName val="0"/>
          <c:showSerName val="0"/>
          <c:showPercent val="0"/>
          <c:showBubbleSize val="0"/>
        </c:dLbls>
        <c:axId val="1075388607"/>
        <c:axId val="1075390239"/>
      </c:scatterChart>
      <c:valAx>
        <c:axId val="1075388607"/>
        <c:scaling>
          <c:orientation val="minMax"/>
          <c:max val="140"/>
          <c:min val="6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FR"/>
          </a:p>
        </c:txPr>
        <c:crossAx val="1075390239"/>
        <c:crosses val="autoZero"/>
        <c:crossBetween val="midCat"/>
      </c:valAx>
      <c:valAx>
        <c:axId val="10753902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FR"/>
          </a:p>
        </c:txPr>
        <c:crossAx val="107538860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50000"/>
          <a:lumOff val="50000"/>
        </a:schemeClr>
      </a:solidFill>
      <a:round/>
    </a:ln>
    <a:effectLst/>
  </c:spPr>
  <c:txPr>
    <a:bodyPr/>
    <a:lstStyle/>
    <a:p>
      <a:pPr>
        <a:defRPr/>
      </a:pPr>
      <a:endParaRPr lang="en-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GB" b="1"/>
              <a:t>Distribution of the P&amp;Ls obtained by the Monte Carlo simulations</a:t>
            </a:r>
          </a:p>
          <a:p>
            <a:pPr>
              <a:defRPr sz="1400" b="1" i="0" u="none" strike="noStrike" kern="1200" spc="0" baseline="0">
                <a:solidFill>
                  <a:schemeClr val="tx1">
                    <a:lumMod val="65000"/>
                    <a:lumOff val="35000"/>
                  </a:schemeClr>
                </a:solidFill>
                <a:latin typeface="+mn-lt"/>
                <a:ea typeface="+mn-ea"/>
                <a:cs typeface="+mn-cs"/>
              </a:defRPr>
            </a:pPr>
            <a:r>
              <a:rPr lang="en-GB" b="1"/>
              <a:t>(values</a:t>
            </a:r>
            <a:r>
              <a:rPr lang="en-GB" b="1" baseline="0"/>
              <a:t> below the VaR are represented in grey)</a:t>
            </a:r>
            <a:endParaRPr lang="en-GB"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FR"/>
        </a:p>
      </c:txPr>
    </c:title>
    <c:autoTitleDeleted val="0"/>
    <c:plotArea>
      <c:layout/>
      <c:barChart>
        <c:barDir val="col"/>
        <c:grouping val="clustered"/>
        <c:varyColors val="0"/>
        <c:ser>
          <c:idx val="0"/>
          <c:order val="0"/>
          <c:spPr>
            <a:solidFill>
              <a:schemeClr val="accent1"/>
            </a:solidFill>
            <a:ln>
              <a:solidFill>
                <a:schemeClr val="bg1"/>
              </a:solidFill>
            </a:ln>
            <a:effectLst/>
          </c:spPr>
          <c:invertIfNegative val="0"/>
          <c:cat>
            <c:strRef>
              <c:f>'Option Strategy'!$U$17:$BH$17</c:f>
              <c:strCache>
                <c:ptCount val="40"/>
                <c:pt idx="0">
                  <c:v>[-3.21, -3.07]</c:v>
                </c:pt>
                <c:pt idx="1">
                  <c:v>[-3.07, -2.93]</c:v>
                </c:pt>
                <c:pt idx="2">
                  <c:v>[-2.93, -2.79]</c:v>
                </c:pt>
                <c:pt idx="3">
                  <c:v>[-2.79, -2.65]</c:v>
                </c:pt>
                <c:pt idx="4">
                  <c:v>[-2.65, -2.51]</c:v>
                </c:pt>
                <c:pt idx="5">
                  <c:v>[-2.51, -2.37]</c:v>
                </c:pt>
                <c:pt idx="6">
                  <c:v>[-2.37, -2.23]</c:v>
                </c:pt>
                <c:pt idx="7">
                  <c:v>[-2.23, -2.09]</c:v>
                </c:pt>
                <c:pt idx="8">
                  <c:v>[-2.09, -1.95]</c:v>
                </c:pt>
                <c:pt idx="9">
                  <c:v>[-1.95, -1.81]</c:v>
                </c:pt>
                <c:pt idx="10">
                  <c:v>[-1.81, -1.67]</c:v>
                </c:pt>
                <c:pt idx="11">
                  <c:v>[-1.67, -1.53]</c:v>
                </c:pt>
                <c:pt idx="12">
                  <c:v>[-1.53, -1.39]</c:v>
                </c:pt>
                <c:pt idx="13">
                  <c:v>[-1.39, -1.25]</c:v>
                </c:pt>
                <c:pt idx="14">
                  <c:v>[-1.25, -1.11]</c:v>
                </c:pt>
                <c:pt idx="15">
                  <c:v>[-1.11, -0.97]</c:v>
                </c:pt>
                <c:pt idx="16">
                  <c:v>[-0.97, -0.83]</c:v>
                </c:pt>
                <c:pt idx="17">
                  <c:v>[-0.83, -0.69]</c:v>
                </c:pt>
                <c:pt idx="18">
                  <c:v>[-0.69, -0.55]</c:v>
                </c:pt>
                <c:pt idx="19">
                  <c:v>[-0.55, -0.41]</c:v>
                </c:pt>
                <c:pt idx="20">
                  <c:v>[-0.41, -0.27]</c:v>
                </c:pt>
                <c:pt idx="21">
                  <c:v>[-0.27, -0.13]</c:v>
                </c:pt>
                <c:pt idx="22">
                  <c:v>[-0.13, 0.01]</c:v>
                </c:pt>
                <c:pt idx="23">
                  <c:v>[0.01, 0.15]</c:v>
                </c:pt>
                <c:pt idx="24">
                  <c:v>[0.15, 0.29]</c:v>
                </c:pt>
                <c:pt idx="25">
                  <c:v>[0.29, 0.43]</c:v>
                </c:pt>
                <c:pt idx="26">
                  <c:v>[0.43, 0.57]</c:v>
                </c:pt>
                <c:pt idx="27">
                  <c:v>[0.57, 0.71]</c:v>
                </c:pt>
                <c:pt idx="28">
                  <c:v>[0.71, 0.85]</c:v>
                </c:pt>
                <c:pt idx="29">
                  <c:v>[0.85, 0.99]</c:v>
                </c:pt>
                <c:pt idx="30">
                  <c:v>[0.99, 1.13]</c:v>
                </c:pt>
                <c:pt idx="31">
                  <c:v>[1.13, 1.27]</c:v>
                </c:pt>
                <c:pt idx="32">
                  <c:v>[1.27, 1.41]</c:v>
                </c:pt>
                <c:pt idx="33">
                  <c:v>[1.41, 1.55]</c:v>
                </c:pt>
                <c:pt idx="34">
                  <c:v>[1.55, 1.69]</c:v>
                </c:pt>
                <c:pt idx="35">
                  <c:v>[1.69, 1.83]</c:v>
                </c:pt>
                <c:pt idx="36">
                  <c:v>[1.83, 1.97]</c:v>
                </c:pt>
                <c:pt idx="37">
                  <c:v>[1.97, 2.11]</c:v>
                </c:pt>
                <c:pt idx="38">
                  <c:v>[2.11, 2.25]</c:v>
                </c:pt>
                <c:pt idx="39">
                  <c:v>[2.25, 2.39]</c:v>
                </c:pt>
              </c:strCache>
            </c:strRef>
          </c:cat>
          <c:val>
            <c:numRef>
              <c:f>'Option Strategy'!$U$18:$BH$18</c:f>
              <c:numCache>
                <c:formatCode>General</c:formatCode>
                <c:ptCount val="40"/>
                <c:pt idx="0">
                  <c:v>1</c:v>
                </c:pt>
                <c:pt idx="1">
                  <c:v>0</c:v>
                </c:pt>
                <c:pt idx="2">
                  <c:v>0</c:v>
                </c:pt>
                <c:pt idx="3">
                  <c:v>1</c:v>
                </c:pt>
                <c:pt idx="4">
                  <c:v>1</c:v>
                </c:pt>
                <c:pt idx="5">
                  <c:v>1</c:v>
                </c:pt>
                <c:pt idx="6">
                  <c:v>1</c:v>
                </c:pt>
                <c:pt idx="7">
                  <c:v>0</c:v>
                </c:pt>
                <c:pt idx="8">
                  <c:v>2</c:v>
                </c:pt>
                <c:pt idx="9">
                  <c:v>8</c:v>
                </c:pt>
                <c:pt idx="10">
                  <c:v>7</c:v>
                </c:pt>
                <c:pt idx="11">
                  <c:v>7</c:v>
                </c:pt>
                <c:pt idx="12">
                  <c:v>16</c:v>
                </c:pt>
                <c:pt idx="13">
                  <c:v>16</c:v>
                </c:pt>
                <c:pt idx="14">
                  <c:v>26</c:v>
                </c:pt>
                <c:pt idx="15">
                  <c:v>28</c:v>
                </c:pt>
                <c:pt idx="16">
                  <c:v>35</c:v>
                </c:pt>
                <c:pt idx="17">
                  <c:v>41</c:v>
                </c:pt>
                <c:pt idx="18">
                  <c:v>52</c:v>
                </c:pt>
                <c:pt idx="19">
                  <c:v>53</c:v>
                </c:pt>
                <c:pt idx="20">
                  <c:v>55</c:v>
                </c:pt>
                <c:pt idx="21">
                  <c:v>57</c:v>
                </c:pt>
                <c:pt idx="22">
                  <c:v>87</c:v>
                </c:pt>
                <c:pt idx="23">
                  <c:v>73</c:v>
                </c:pt>
                <c:pt idx="24">
                  <c:v>80</c:v>
                </c:pt>
                <c:pt idx="25">
                  <c:v>73</c:v>
                </c:pt>
                <c:pt idx="26">
                  <c:v>62</c:v>
                </c:pt>
                <c:pt idx="27">
                  <c:v>58</c:v>
                </c:pt>
                <c:pt idx="28">
                  <c:v>33</c:v>
                </c:pt>
                <c:pt idx="29">
                  <c:v>43</c:v>
                </c:pt>
                <c:pt idx="30">
                  <c:v>32</c:v>
                </c:pt>
                <c:pt idx="31">
                  <c:v>16</c:v>
                </c:pt>
                <c:pt idx="32">
                  <c:v>15</c:v>
                </c:pt>
                <c:pt idx="33">
                  <c:v>7</c:v>
                </c:pt>
                <c:pt idx="34">
                  <c:v>8</c:v>
                </c:pt>
                <c:pt idx="35">
                  <c:v>2</c:v>
                </c:pt>
                <c:pt idx="36">
                  <c:v>2</c:v>
                </c:pt>
                <c:pt idx="37">
                  <c:v>0</c:v>
                </c:pt>
                <c:pt idx="38">
                  <c:v>0</c:v>
                </c:pt>
                <c:pt idx="39">
                  <c:v>0</c:v>
                </c:pt>
              </c:numCache>
            </c:numRef>
          </c:val>
          <c:extLst>
            <c:ext xmlns:c16="http://schemas.microsoft.com/office/drawing/2014/chart" uri="{C3380CC4-5D6E-409C-BE32-E72D297353CC}">
              <c16:uniqueId val="{00000000-D535-FB49-A4AB-B48836424AA8}"/>
            </c:ext>
          </c:extLst>
        </c:ser>
        <c:ser>
          <c:idx val="1"/>
          <c:order val="1"/>
          <c:spPr>
            <a:solidFill>
              <a:schemeClr val="accent2"/>
            </a:solidFill>
            <a:ln>
              <a:noFill/>
            </a:ln>
            <a:effectLst/>
          </c:spPr>
          <c:invertIfNegative val="0"/>
          <c:cat>
            <c:strRef>
              <c:f>'Option Strategy'!$U$17:$BH$17</c:f>
              <c:strCache>
                <c:ptCount val="40"/>
                <c:pt idx="0">
                  <c:v>[-3.21, -3.07]</c:v>
                </c:pt>
                <c:pt idx="1">
                  <c:v>[-3.07, -2.93]</c:v>
                </c:pt>
                <c:pt idx="2">
                  <c:v>[-2.93, -2.79]</c:v>
                </c:pt>
                <c:pt idx="3">
                  <c:v>[-2.79, -2.65]</c:v>
                </c:pt>
                <c:pt idx="4">
                  <c:v>[-2.65, -2.51]</c:v>
                </c:pt>
                <c:pt idx="5">
                  <c:v>[-2.51, -2.37]</c:v>
                </c:pt>
                <c:pt idx="6">
                  <c:v>[-2.37, -2.23]</c:v>
                </c:pt>
                <c:pt idx="7">
                  <c:v>[-2.23, -2.09]</c:v>
                </c:pt>
                <c:pt idx="8">
                  <c:v>[-2.09, -1.95]</c:v>
                </c:pt>
                <c:pt idx="9">
                  <c:v>[-1.95, -1.81]</c:v>
                </c:pt>
                <c:pt idx="10">
                  <c:v>[-1.81, -1.67]</c:v>
                </c:pt>
                <c:pt idx="11">
                  <c:v>[-1.67, -1.53]</c:v>
                </c:pt>
                <c:pt idx="12">
                  <c:v>[-1.53, -1.39]</c:v>
                </c:pt>
                <c:pt idx="13">
                  <c:v>[-1.39, -1.25]</c:v>
                </c:pt>
                <c:pt idx="14">
                  <c:v>[-1.25, -1.11]</c:v>
                </c:pt>
                <c:pt idx="15">
                  <c:v>[-1.11, -0.97]</c:v>
                </c:pt>
                <c:pt idx="16">
                  <c:v>[-0.97, -0.83]</c:v>
                </c:pt>
                <c:pt idx="17">
                  <c:v>[-0.83, -0.69]</c:v>
                </c:pt>
                <c:pt idx="18">
                  <c:v>[-0.69, -0.55]</c:v>
                </c:pt>
                <c:pt idx="19">
                  <c:v>[-0.55, -0.41]</c:v>
                </c:pt>
                <c:pt idx="20">
                  <c:v>[-0.41, -0.27]</c:v>
                </c:pt>
                <c:pt idx="21">
                  <c:v>[-0.27, -0.13]</c:v>
                </c:pt>
                <c:pt idx="22">
                  <c:v>[-0.13, 0.01]</c:v>
                </c:pt>
                <c:pt idx="23">
                  <c:v>[0.01, 0.15]</c:v>
                </c:pt>
                <c:pt idx="24">
                  <c:v>[0.15, 0.29]</c:v>
                </c:pt>
                <c:pt idx="25">
                  <c:v>[0.29, 0.43]</c:v>
                </c:pt>
                <c:pt idx="26">
                  <c:v>[0.43, 0.57]</c:v>
                </c:pt>
                <c:pt idx="27">
                  <c:v>[0.57, 0.71]</c:v>
                </c:pt>
                <c:pt idx="28">
                  <c:v>[0.71, 0.85]</c:v>
                </c:pt>
                <c:pt idx="29">
                  <c:v>[0.85, 0.99]</c:v>
                </c:pt>
                <c:pt idx="30">
                  <c:v>[0.99, 1.13]</c:v>
                </c:pt>
                <c:pt idx="31">
                  <c:v>[1.13, 1.27]</c:v>
                </c:pt>
                <c:pt idx="32">
                  <c:v>[1.27, 1.41]</c:v>
                </c:pt>
                <c:pt idx="33">
                  <c:v>[1.41, 1.55]</c:v>
                </c:pt>
                <c:pt idx="34">
                  <c:v>[1.55, 1.69]</c:v>
                </c:pt>
                <c:pt idx="35">
                  <c:v>[1.69, 1.83]</c:v>
                </c:pt>
                <c:pt idx="36">
                  <c:v>[1.83, 1.97]</c:v>
                </c:pt>
                <c:pt idx="37">
                  <c:v>[1.97, 2.11]</c:v>
                </c:pt>
                <c:pt idx="38">
                  <c:v>[2.11, 2.25]</c:v>
                </c:pt>
                <c:pt idx="39">
                  <c:v>[2.25, 2.39]</c:v>
                </c:pt>
              </c:strCache>
            </c:strRef>
          </c:cat>
          <c:val>
            <c:numRef>
              <c:f>'Option Strategy'!$U$17:$AG$17</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5-7BAA-9243-A98F-DE242A83CACE}"/>
            </c:ext>
          </c:extLst>
        </c:ser>
        <c:ser>
          <c:idx val="2"/>
          <c:order val="2"/>
          <c:spPr>
            <a:solidFill>
              <a:schemeClr val="accent3"/>
            </a:solidFill>
            <a:ln>
              <a:noFill/>
            </a:ln>
            <a:effectLst/>
          </c:spPr>
          <c:invertIfNegative val="0"/>
          <c:cat>
            <c:strRef>
              <c:f>'Option Strategy'!$U$17:$BH$17</c:f>
              <c:strCache>
                <c:ptCount val="40"/>
                <c:pt idx="0">
                  <c:v>[-3.21, -3.07]</c:v>
                </c:pt>
                <c:pt idx="1">
                  <c:v>[-3.07, -2.93]</c:v>
                </c:pt>
                <c:pt idx="2">
                  <c:v>[-2.93, -2.79]</c:v>
                </c:pt>
                <c:pt idx="3">
                  <c:v>[-2.79, -2.65]</c:v>
                </c:pt>
                <c:pt idx="4">
                  <c:v>[-2.65, -2.51]</c:v>
                </c:pt>
                <c:pt idx="5">
                  <c:v>[-2.51, -2.37]</c:v>
                </c:pt>
                <c:pt idx="6">
                  <c:v>[-2.37, -2.23]</c:v>
                </c:pt>
                <c:pt idx="7">
                  <c:v>[-2.23, -2.09]</c:v>
                </c:pt>
                <c:pt idx="8">
                  <c:v>[-2.09, -1.95]</c:v>
                </c:pt>
                <c:pt idx="9">
                  <c:v>[-1.95, -1.81]</c:v>
                </c:pt>
                <c:pt idx="10">
                  <c:v>[-1.81, -1.67]</c:v>
                </c:pt>
                <c:pt idx="11">
                  <c:v>[-1.67, -1.53]</c:v>
                </c:pt>
                <c:pt idx="12">
                  <c:v>[-1.53, -1.39]</c:v>
                </c:pt>
                <c:pt idx="13">
                  <c:v>[-1.39, -1.25]</c:v>
                </c:pt>
                <c:pt idx="14">
                  <c:v>[-1.25, -1.11]</c:v>
                </c:pt>
                <c:pt idx="15">
                  <c:v>[-1.11, -0.97]</c:v>
                </c:pt>
                <c:pt idx="16">
                  <c:v>[-0.97, -0.83]</c:v>
                </c:pt>
                <c:pt idx="17">
                  <c:v>[-0.83, -0.69]</c:v>
                </c:pt>
                <c:pt idx="18">
                  <c:v>[-0.69, -0.55]</c:v>
                </c:pt>
                <c:pt idx="19">
                  <c:v>[-0.55, -0.41]</c:v>
                </c:pt>
                <c:pt idx="20">
                  <c:v>[-0.41, -0.27]</c:v>
                </c:pt>
                <c:pt idx="21">
                  <c:v>[-0.27, -0.13]</c:v>
                </c:pt>
                <c:pt idx="22">
                  <c:v>[-0.13, 0.01]</c:v>
                </c:pt>
                <c:pt idx="23">
                  <c:v>[0.01, 0.15]</c:v>
                </c:pt>
                <c:pt idx="24">
                  <c:v>[0.15, 0.29]</c:v>
                </c:pt>
                <c:pt idx="25">
                  <c:v>[0.29, 0.43]</c:v>
                </c:pt>
                <c:pt idx="26">
                  <c:v>[0.43, 0.57]</c:v>
                </c:pt>
                <c:pt idx="27">
                  <c:v>[0.57, 0.71]</c:v>
                </c:pt>
                <c:pt idx="28">
                  <c:v>[0.71, 0.85]</c:v>
                </c:pt>
                <c:pt idx="29">
                  <c:v>[0.85, 0.99]</c:v>
                </c:pt>
                <c:pt idx="30">
                  <c:v>[0.99, 1.13]</c:v>
                </c:pt>
                <c:pt idx="31">
                  <c:v>[1.13, 1.27]</c:v>
                </c:pt>
                <c:pt idx="32">
                  <c:v>[1.27, 1.41]</c:v>
                </c:pt>
                <c:pt idx="33">
                  <c:v>[1.41, 1.55]</c:v>
                </c:pt>
                <c:pt idx="34">
                  <c:v>[1.55, 1.69]</c:v>
                </c:pt>
                <c:pt idx="35">
                  <c:v>[1.69, 1.83]</c:v>
                </c:pt>
                <c:pt idx="36">
                  <c:v>[1.83, 1.97]</c:v>
                </c:pt>
                <c:pt idx="37">
                  <c:v>[1.97, 2.11]</c:v>
                </c:pt>
                <c:pt idx="38">
                  <c:v>[2.11, 2.25]</c:v>
                </c:pt>
                <c:pt idx="39">
                  <c:v>[2.25, 2.39]</c:v>
                </c:pt>
              </c:strCache>
            </c:strRef>
          </c:cat>
          <c:val>
            <c:numRef>
              <c:f>'Option Strategy'!$U$18:$AG$18</c:f>
              <c:numCache>
                <c:formatCode>General</c:formatCode>
                <c:ptCount val="13"/>
                <c:pt idx="0">
                  <c:v>1</c:v>
                </c:pt>
                <c:pt idx="1">
                  <c:v>0</c:v>
                </c:pt>
                <c:pt idx="2">
                  <c:v>0</c:v>
                </c:pt>
                <c:pt idx="3">
                  <c:v>1</c:v>
                </c:pt>
                <c:pt idx="4">
                  <c:v>1</c:v>
                </c:pt>
                <c:pt idx="5">
                  <c:v>1</c:v>
                </c:pt>
                <c:pt idx="6">
                  <c:v>1</c:v>
                </c:pt>
                <c:pt idx="7">
                  <c:v>0</c:v>
                </c:pt>
                <c:pt idx="8">
                  <c:v>2</c:v>
                </c:pt>
                <c:pt idx="9">
                  <c:v>8</c:v>
                </c:pt>
                <c:pt idx="10">
                  <c:v>7</c:v>
                </c:pt>
                <c:pt idx="11">
                  <c:v>7</c:v>
                </c:pt>
                <c:pt idx="12">
                  <c:v>16</c:v>
                </c:pt>
              </c:numCache>
            </c:numRef>
          </c:val>
          <c:extLst>
            <c:ext xmlns:c16="http://schemas.microsoft.com/office/drawing/2014/chart" uri="{C3380CC4-5D6E-409C-BE32-E72D297353CC}">
              <c16:uniqueId val="{00000006-7BAA-9243-A98F-DE242A83CACE}"/>
            </c:ext>
          </c:extLst>
        </c:ser>
        <c:dLbls>
          <c:showLegendKey val="0"/>
          <c:showVal val="0"/>
          <c:showCatName val="0"/>
          <c:showSerName val="0"/>
          <c:showPercent val="0"/>
          <c:showBubbleSize val="0"/>
        </c:dLbls>
        <c:gapWidth val="0"/>
        <c:overlap val="100"/>
        <c:axId val="268529855"/>
        <c:axId val="268751791"/>
      </c:barChart>
      <c:catAx>
        <c:axId val="2685298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FR"/>
          </a:p>
        </c:txPr>
        <c:crossAx val="268751791"/>
        <c:crosses val="autoZero"/>
        <c:auto val="1"/>
        <c:lblAlgn val="ctr"/>
        <c:lblOffset val="100"/>
        <c:noMultiLvlLbl val="0"/>
      </c:catAx>
      <c:valAx>
        <c:axId val="268751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FR"/>
          </a:p>
        </c:txPr>
        <c:crossAx val="2685298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127000</xdr:colOff>
          <xdr:row>27</xdr:row>
          <xdr:rowOff>127000</xdr:rowOff>
        </xdr:from>
        <xdr:to>
          <xdr:col>11</xdr:col>
          <xdr:colOff>266700</xdr:colOff>
          <xdr:row>29</xdr:row>
          <xdr:rowOff>101600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none" strike="noStrike" baseline="0">
                  <a:solidFill>
                    <a:srgbClr val="000000"/>
                  </a:solidFill>
                  <a:latin typeface="Calibri" pitchFamily="2" charset="0"/>
                  <a:cs typeface="Calibri" pitchFamily="2" charset="0"/>
                </a:rPr>
                <a:t>Proceed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596900</xdr:colOff>
          <xdr:row>43</xdr:row>
          <xdr:rowOff>177800</xdr:rowOff>
        </xdr:from>
        <xdr:to>
          <xdr:col>5</xdr:col>
          <xdr:colOff>139700</xdr:colOff>
          <xdr:row>44</xdr:row>
          <xdr:rowOff>508000</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100-00003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none" strike="noStrike" baseline="0">
                  <a:solidFill>
                    <a:srgbClr val="000000"/>
                  </a:solidFill>
                  <a:latin typeface="Calibri" pitchFamily="2" charset="0"/>
                  <a:cs typeface="Calibri" pitchFamily="2" charset="0"/>
                </a:rPr>
                <a:t>Clear</a:t>
              </a:r>
              <a:endParaRPr lang="en-GB" sz="1200" b="0" i="0" u="none" strike="noStrike" baseline="0">
                <a:solidFill>
                  <a:srgbClr val="000000"/>
                </a:solidFill>
                <a:latin typeface="Calibri" pitchFamily="2" charset="0"/>
                <a:cs typeface="Calibri" pitchFamily="2" charset="0"/>
              </a:endParaRPr>
            </a:p>
            <a:p>
              <a:pPr algn="ctr" rtl="0">
                <a:defRPr sz="1000"/>
              </a:pPr>
              <a:r>
                <a:rPr lang="en-GB" sz="1200" b="0" i="0" u="none" strike="noStrike" baseline="0">
                  <a:solidFill>
                    <a:srgbClr val="000000"/>
                  </a:solidFill>
                  <a:latin typeface="Calibri" pitchFamily="2" charset="0"/>
                  <a:cs typeface="Calibri" pitchFamily="2" charset="0"/>
                </a:rPr>
                <a:t>the n periods tree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43</xdr:row>
          <xdr:rowOff>177800</xdr:rowOff>
        </xdr:from>
        <xdr:to>
          <xdr:col>2</xdr:col>
          <xdr:colOff>1003300</xdr:colOff>
          <xdr:row>44</xdr:row>
          <xdr:rowOff>508000</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100-00003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none" strike="noStrike" baseline="0">
                  <a:solidFill>
                    <a:srgbClr val="000000"/>
                  </a:solidFill>
                  <a:latin typeface="Calibri" pitchFamily="2" charset="0"/>
                  <a:cs typeface="Calibri" pitchFamily="2" charset="0"/>
                </a:rPr>
                <a:t>Generate</a:t>
              </a:r>
              <a:endParaRPr lang="en-GB" sz="1200" b="0" i="0" u="none" strike="noStrike" baseline="0">
                <a:solidFill>
                  <a:srgbClr val="000000"/>
                </a:solidFill>
                <a:latin typeface="Calibri" pitchFamily="2" charset="0"/>
                <a:cs typeface="Calibri" pitchFamily="2" charset="0"/>
              </a:endParaRPr>
            </a:p>
            <a:p>
              <a:pPr algn="ctr" rtl="0">
                <a:defRPr sz="1000"/>
              </a:pPr>
              <a:r>
                <a:rPr lang="en-GB" sz="1200" b="0" i="0" u="none" strike="noStrike" baseline="0">
                  <a:solidFill>
                    <a:srgbClr val="000000"/>
                  </a:solidFill>
                  <a:latin typeface="Calibri" pitchFamily="2" charset="0"/>
                  <a:cs typeface="Calibri" pitchFamily="2" charset="0"/>
                </a:rPr>
                <a:t>the n periods tree</a:t>
              </a:r>
            </a:p>
            <a:p>
              <a:pPr algn="ctr" rtl="0">
                <a:defRPr sz="1000"/>
              </a:pPr>
              <a:endParaRPr lang="en-GB"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711200</xdr:colOff>
          <xdr:row>36</xdr:row>
          <xdr:rowOff>190500</xdr:rowOff>
        </xdr:from>
        <xdr:to>
          <xdr:col>11</xdr:col>
          <xdr:colOff>368300</xdr:colOff>
          <xdr:row>39</xdr:row>
          <xdr:rowOff>127000</xdr:rowOff>
        </xdr:to>
        <xdr:sp macro="" textlink="">
          <xdr:nvSpPr>
            <xdr:cNvPr id="1173" name="Button 149" hidden="1">
              <a:extLst>
                <a:ext uri="{63B3BB69-23CF-44E3-9099-C40C66FF867C}">
                  <a14:compatExt spid="_x0000_s1173"/>
                </a:ext>
                <a:ext uri="{FF2B5EF4-FFF2-40B4-BE49-F238E27FC236}">
                  <a16:creationId xmlns:a16="http://schemas.microsoft.com/office/drawing/2014/main" id="{00000000-0008-0000-0100-00009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200" b="0" i="0" u="none" strike="noStrike" baseline="0">
                  <a:solidFill>
                    <a:srgbClr val="000000"/>
                  </a:solidFill>
                  <a:latin typeface="Calibri" pitchFamily="2" charset="0"/>
                  <a:cs typeface="Calibri" pitchFamily="2" charset="0"/>
                </a:rPr>
                <a:t>Launch MC simulation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711200</xdr:colOff>
          <xdr:row>13</xdr:row>
          <xdr:rowOff>88900</xdr:rowOff>
        </xdr:from>
        <xdr:to>
          <xdr:col>18</xdr:col>
          <xdr:colOff>254000</xdr:colOff>
          <xdr:row>16</xdr:row>
          <xdr:rowOff>0</xdr:rowOff>
        </xdr:to>
        <xdr:sp macro="" textlink="">
          <xdr:nvSpPr>
            <xdr:cNvPr id="1177" name="Button 153" hidden="1">
              <a:extLst>
                <a:ext uri="{63B3BB69-23CF-44E3-9099-C40C66FF867C}">
                  <a14:compatExt spid="_x0000_s1177"/>
                </a:ext>
                <a:ext uri="{FF2B5EF4-FFF2-40B4-BE49-F238E27FC236}">
                  <a16:creationId xmlns:a16="http://schemas.microsoft.com/office/drawing/2014/main" id="{00000000-0008-0000-0100-00009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none" strike="noStrike" baseline="0">
                  <a:solidFill>
                    <a:srgbClr val="000000"/>
                  </a:solidFill>
                  <a:latin typeface="Calibri" pitchFamily="2" charset="0"/>
                  <a:cs typeface="Calibri" pitchFamily="2" charset="0"/>
                </a:rPr>
                <a:t>See Greeks plots</a:t>
              </a:r>
              <a:endParaRPr lang="en-GB" sz="1200" b="0" i="0" u="none" strike="noStrike" baseline="0">
                <a:solidFill>
                  <a:srgbClr val="000000"/>
                </a:solidFill>
                <a:latin typeface="Calibri" pitchFamily="2" charset="0"/>
                <a:cs typeface="Calibri" pitchFamily="2" charset="0"/>
              </a:endParaRPr>
            </a:p>
            <a:p>
              <a:pPr algn="ctr" rtl="0">
                <a:defRPr sz="1000"/>
              </a:pPr>
              <a:r>
                <a:rPr lang="en-GB" sz="1200" b="0" i="0" u="none" strike="noStrike" baseline="0">
                  <a:solidFill>
                    <a:srgbClr val="000000"/>
                  </a:solidFill>
                  <a:latin typeface="Calibri" pitchFamily="2" charset="0"/>
                  <a:cs typeface="Calibri" pitchFamily="2" charset="0"/>
                </a:rPr>
                <a:t>(Greeks vs 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101600</xdr:colOff>
          <xdr:row>4</xdr:row>
          <xdr:rowOff>50800</xdr:rowOff>
        </xdr:from>
        <xdr:to>
          <xdr:col>10</xdr:col>
          <xdr:colOff>762000</xdr:colOff>
          <xdr:row>8</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400" b="1" i="0" u="none" strike="noStrike" baseline="0">
                  <a:solidFill>
                    <a:srgbClr val="000000"/>
                  </a:solidFill>
                  <a:latin typeface="Calibri" pitchFamily="2" charset="0"/>
                  <a:cs typeface="Calibri" pitchFamily="2" charset="0"/>
                </a:rPr>
                <a:t>Display</a:t>
              </a:r>
              <a:endParaRPr lang="en-GB" sz="1400" b="0" i="0" u="none" strike="noStrike" baseline="0">
                <a:solidFill>
                  <a:srgbClr val="000000"/>
                </a:solidFill>
                <a:latin typeface="Calibri" pitchFamily="2" charset="0"/>
                <a:cs typeface="Calibri" pitchFamily="2" charset="0"/>
              </a:endParaRPr>
            </a:p>
            <a:p>
              <a:pPr algn="ctr" rtl="0">
                <a:defRPr sz="1000"/>
              </a:pPr>
              <a:r>
                <a:rPr lang="en-GB" sz="1400" b="0" i="0" u="none" strike="noStrike" baseline="0">
                  <a:solidFill>
                    <a:srgbClr val="000000"/>
                  </a:solidFill>
                  <a:latin typeface="Calibri" pitchFamily="2" charset="0"/>
                  <a:cs typeface="Calibri" pitchFamily="2" charset="0"/>
                </a:rPr>
                <a:t>corresponding options' parameters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50800</xdr:colOff>
          <xdr:row>6</xdr:row>
          <xdr:rowOff>50800</xdr:rowOff>
        </xdr:from>
        <xdr:to>
          <xdr:col>12</xdr:col>
          <xdr:colOff>749300</xdr:colOff>
          <xdr:row>8</xdr:row>
          <xdr:rowOff>101600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none" strike="noStrike" baseline="0">
                  <a:solidFill>
                    <a:srgbClr val="000000"/>
                  </a:solidFill>
                  <a:latin typeface="Calibri" pitchFamily="2" charset="0"/>
                  <a:cs typeface="Calibri" pitchFamily="2" charset="0"/>
                </a:rPr>
                <a:t>Clear</a:t>
              </a:r>
            </a:p>
            <a:p>
              <a:pPr algn="ctr" rtl="0">
                <a:defRPr sz="1000"/>
              </a:pPr>
              <a:r>
                <a:rPr lang="en-GB" sz="1200" b="0" i="0" u="none" strike="noStrike" baseline="0">
                  <a:solidFill>
                    <a:srgbClr val="000000"/>
                  </a:solidFill>
                  <a:latin typeface="Calibri" pitchFamily="2" charset="0"/>
                  <a:cs typeface="Calibri" pitchFamily="2" charset="0"/>
                </a:rPr>
                <a:t>parameter</a:t>
              </a:r>
              <a:r>
                <a:rPr lang="en-GB" sz="1200" b="1" i="0" u="none" strike="noStrike" baseline="0">
                  <a:solidFill>
                    <a:srgbClr val="000000"/>
                  </a:solidFill>
                  <a:latin typeface="Calibri" pitchFamily="2" charset="0"/>
                  <a:cs typeface="Calibri" pitchFamily="2" charset="0"/>
                </a:rPr>
                <a:t> </a:t>
              </a:r>
              <a:r>
                <a:rPr lang="en-GB" sz="1200" b="0" i="0" u="none" strike="noStrike" baseline="0">
                  <a:solidFill>
                    <a:srgbClr val="000000"/>
                  </a:solidFill>
                  <a:latin typeface="Calibri" pitchFamily="2" charset="0"/>
                  <a:cs typeface="Calibri" pitchFamily="2" charset="0"/>
                </a:rPr>
                <a:t>columns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88900</xdr:colOff>
          <xdr:row>34</xdr:row>
          <xdr:rowOff>63500</xdr:rowOff>
        </xdr:from>
        <xdr:to>
          <xdr:col>3</xdr:col>
          <xdr:colOff>698500</xdr:colOff>
          <xdr:row>34</xdr:row>
          <xdr:rowOff>508000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none" strike="noStrike" baseline="0">
                  <a:solidFill>
                    <a:srgbClr val="000000"/>
                  </a:solidFill>
                  <a:latin typeface="Calibri" pitchFamily="2" charset="0"/>
                  <a:cs typeface="Calibri" pitchFamily="2" charset="0"/>
                </a:rPr>
                <a:t>Replicate</a:t>
              </a:r>
              <a:r>
                <a:rPr lang="en-GB" sz="1200" b="0" i="0" u="none" strike="noStrike" baseline="0">
                  <a:solidFill>
                    <a:srgbClr val="000000"/>
                  </a:solidFill>
                  <a:latin typeface="Calibri" pitchFamily="2" charset="0"/>
                  <a:cs typeface="Calibri" pitchFamily="2" charset="0"/>
                </a:rPr>
                <a:t> first column parameters to all columns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12700</xdr:colOff>
          <xdr:row>39</xdr:row>
          <xdr:rowOff>850900</xdr:rowOff>
        </xdr:from>
        <xdr:to>
          <xdr:col>5</xdr:col>
          <xdr:colOff>0</xdr:colOff>
          <xdr:row>39</xdr:row>
          <xdr:rowOff>1295400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none" strike="noStrike" baseline="0">
                  <a:solidFill>
                    <a:srgbClr val="000000"/>
                  </a:solidFill>
                  <a:latin typeface="Calibri" pitchFamily="2" charset="0"/>
                  <a:cs typeface="Calibri" pitchFamily="2" charset="0"/>
                </a:rPr>
                <a:t>Calculate Payoff &amp; Greeks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101600</xdr:colOff>
          <xdr:row>39</xdr:row>
          <xdr:rowOff>38100</xdr:rowOff>
        </xdr:from>
        <xdr:to>
          <xdr:col>3</xdr:col>
          <xdr:colOff>698500</xdr:colOff>
          <xdr:row>39</xdr:row>
          <xdr:rowOff>546100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200-00000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none" strike="noStrike" baseline="0">
                  <a:solidFill>
                    <a:srgbClr val="000000"/>
                  </a:solidFill>
                  <a:latin typeface="Calibri" pitchFamily="2" charset="0"/>
                  <a:cs typeface="Calibri" pitchFamily="2" charset="0"/>
                </a:rPr>
                <a:t>Replicate</a:t>
              </a:r>
              <a:r>
                <a:rPr lang="en-GB" sz="1200" b="0" i="0" u="none" strike="noStrike" baseline="0">
                  <a:solidFill>
                    <a:srgbClr val="000000"/>
                  </a:solidFill>
                  <a:latin typeface="Calibri" pitchFamily="2" charset="0"/>
                  <a:cs typeface="Calibri" pitchFamily="2" charset="0"/>
                </a:rPr>
                <a:t> first column parameters to all columns</a:t>
              </a:r>
            </a:p>
          </xdr:txBody>
        </xdr:sp>
        <xdr:clientData fPrintsWithSheet="0"/>
      </xdr:twoCellAnchor>
    </mc:Choice>
    <mc:Fallback/>
  </mc:AlternateContent>
  <xdr:twoCellAnchor>
    <xdr:from>
      <xdr:col>10</xdr:col>
      <xdr:colOff>466723</xdr:colOff>
      <xdr:row>60</xdr:row>
      <xdr:rowOff>43656</xdr:rowOff>
    </xdr:from>
    <xdr:to>
      <xdr:col>18</xdr:col>
      <xdr:colOff>73869</xdr:colOff>
      <xdr:row>76</xdr:row>
      <xdr:rowOff>84296</xdr:rowOff>
    </xdr:to>
    <xdr:graphicFrame macro="">
      <xdr:nvGraphicFramePr>
        <xdr:cNvPr id="4" name="chart Delt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323054</xdr:colOff>
      <xdr:row>60</xdr:row>
      <xdr:rowOff>42068</xdr:rowOff>
    </xdr:from>
    <xdr:to>
      <xdr:col>26</xdr:col>
      <xdr:colOff>489000</xdr:colOff>
      <xdr:row>76</xdr:row>
      <xdr:rowOff>82708</xdr:rowOff>
    </xdr:to>
    <xdr:graphicFrame macro="">
      <xdr:nvGraphicFramePr>
        <xdr:cNvPr id="11" name="Chart Gamma">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212458</xdr:colOff>
      <xdr:row>78</xdr:row>
      <xdr:rowOff>192087</xdr:rowOff>
    </xdr:from>
    <xdr:to>
      <xdr:col>9</xdr:col>
      <xdr:colOff>530803</xdr:colOff>
      <xdr:row>95</xdr:row>
      <xdr:rowOff>29527</xdr:rowOff>
    </xdr:to>
    <xdr:graphicFrame macro="">
      <xdr:nvGraphicFramePr>
        <xdr:cNvPr id="12" name="Chart Vega">
          <a:extLst>
            <a:ext uri="{FF2B5EF4-FFF2-40B4-BE49-F238E27FC236}">
              <a16:creationId xmlns:a16="http://schemas.microsoft.com/office/drawing/2014/main" id="{00000000-0008-0000-02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494240</xdr:colOff>
      <xdr:row>78</xdr:row>
      <xdr:rowOff>166687</xdr:rowOff>
    </xdr:from>
    <xdr:to>
      <xdr:col>18</xdr:col>
      <xdr:colOff>101386</xdr:colOff>
      <xdr:row>95</xdr:row>
      <xdr:rowOff>4127</xdr:rowOff>
    </xdr:to>
    <xdr:graphicFrame macro="">
      <xdr:nvGraphicFramePr>
        <xdr:cNvPr id="13" name="Chart Theta">
          <a:extLst>
            <a:ext uri="{FF2B5EF4-FFF2-40B4-BE49-F238E27FC236}">
              <a16:creationId xmlns:a16="http://schemas.microsoft.com/office/drawing/2014/main" id="{00000000-0008-0000-02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328082</xdr:colOff>
      <xdr:row>78</xdr:row>
      <xdr:rowOff>144197</xdr:rowOff>
    </xdr:from>
    <xdr:to>
      <xdr:col>26</xdr:col>
      <xdr:colOff>494028</xdr:colOff>
      <xdr:row>94</xdr:row>
      <xdr:rowOff>184837</xdr:rowOff>
    </xdr:to>
    <xdr:graphicFrame macro="">
      <xdr:nvGraphicFramePr>
        <xdr:cNvPr id="14" name="Chart Rho">
          <a:extLst>
            <a:ext uri="{FF2B5EF4-FFF2-40B4-BE49-F238E27FC236}">
              <a16:creationId xmlns:a16="http://schemas.microsoft.com/office/drawing/2014/main" id="{00000000-0008-0000-02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11</xdr:col>
          <xdr:colOff>406400</xdr:colOff>
          <xdr:row>55</xdr:row>
          <xdr:rowOff>12700</xdr:rowOff>
        </xdr:from>
        <xdr:to>
          <xdr:col>16</xdr:col>
          <xdr:colOff>190500</xdr:colOff>
          <xdr:row>57</xdr:row>
          <xdr:rowOff>342900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400" b="1" i="0" u="none" strike="noStrike" baseline="0">
                  <a:solidFill>
                    <a:srgbClr val="000000"/>
                  </a:solidFill>
                  <a:latin typeface="Calibri" pitchFamily="2" charset="0"/>
                  <a:cs typeface="Calibri" pitchFamily="2" charset="0"/>
                </a:rPr>
                <a:t>Plot</a:t>
              </a:r>
            </a:p>
            <a:p>
              <a:pPr algn="ctr" rtl="0">
                <a:defRPr sz="1000"/>
              </a:pPr>
              <a:r>
                <a:rPr lang="en-GB" sz="1400" b="0" i="0" u="none" strike="noStrike" baseline="0">
                  <a:solidFill>
                    <a:srgbClr val="000000"/>
                  </a:solidFill>
                  <a:latin typeface="Calibri" pitchFamily="2" charset="0"/>
                  <a:cs typeface="Calibri" pitchFamily="2" charset="0"/>
                </a:rPr>
                <a:t>the Payoff and Greeks graphs</a:t>
              </a:r>
            </a:p>
          </xdr:txBody>
        </xdr:sp>
        <xdr:clientData fPrintsWithSheet="0"/>
      </xdr:twoCellAnchor>
    </mc:Choice>
    <mc:Fallback/>
  </mc:AlternateContent>
  <xdr:twoCellAnchor>
    <xdr:from>
      <xdr:col>2</xdr:col>
      <xdr:colOff>198436</xdr:colOff>
      <xdr:row>60</xdr:row>
      <xdr:rowOff>33866</xdr:rowOff>
    </xdr:from>
    <xdr:to>
      <xdr:col>9</xdr:col>
      <xdr:colOff>516781</xdr:colOff>
      <xdr:row>76</xdr:row>
      <xdr:rowOff>74506</xdr:rowOff>
    </xdr:to>
    <xdr:graphicFrame macro="">
      <xdr:nvGraphicFramePr>
        <xdr:cNvPr id="21" name="Chart P&amp;L">
          <a:extLst>
            <a:ext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xdr:from>
          <xdr:col>3</xdr:col>
          <xdr:colOff>774700</xdr:colOff>
          <xdr:row>39</xdr:row>
          <xdr:rowOff>38100</xdr:rowOff>
        </xdr:from>
        <xdr:to>
          <xdr:col>5</xdr:col>
          <xdr:colOff>63500</xdr:colOff>
          <xdr:row>39</xdr:row>
          <xdr:rowOff>546100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Use Default</a:t>
              </a:r>
              <a:r>
                <a:rPr lang="en-GB" sz="1100" b="0" i="0" u="none" strike="noStrike" baseline="0">
                  <a:solidFill>
                    <a:srgbClr val="000000"/>
                  </a:solidFill>
                  <a:latin typeface="Calibri" pitchFamily="2" charset="0"/>
                  <a:cs typeface="Calibri" pitchFamily="2" charset="0"/>
                </a:rPr>
                <a:t> option prices (BS)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165100</xdr:colOff>
          <xdr:row>56</xdr:row>
          <xdr:rowOff>50800</xdr:rowOff>
        </xdr:from>
        <xdr:to>
          <xdr:col>21</xdr:col>
          <xdr:colOff>952500</xdr:colOff>
          <xdr:row>56</xdr:row>
          <xdr:rowOff>406400</xdr:rowOff>
        </xdr:to>
        <xdr:sp macro="" textlink="">
          <xdr:nvSpPr>
            <xdr:cNvPr id="2073" name="Button 25" hidden="1">
              <a:extLst>
                <a:ext uri="{63B3BB69-23CF-44E3-9099-C40C66FF867C}">
                  <a14:compatExt spid="_x0000_s2073"/>
                </a:ext>
                <a:ext uri="{FF2B5EF4-FFF2-40B4-BE49-F238E27FC236}">
                  <a16:creationId xmlns:a16="http://schemas.microsoft.com/office/drawing/2014/main" id="{00000000-0008-0000-0200-000019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2800" b="1" i="0" u="none" strike="noStrike" baseline="0">
                  <a:solidFill>
                    <a:srgbClr val="000000"/>
                  </a:solidFill>
                  <a:latin typeface="Calibri" pitchFamily="2" charset="0"/>
                  <a:cs typeface="Calibri" pitchFamily="2"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177800</xdr:colOff>
          <xdr:row>57</xdr:row>
          <xdr:rowOff>63500</xdr:rowOff>
        </xdr:from>
        <xdr:to>
          <xdr:col>21</xdr:col>
          <xdr:colOff>952500</xdr:colOff>
          <xdr:row>57</xdr:row>
          <xdr:rowOff>419100</xdr:rowOff>
        </xdr:to>
        <xdr:sp macro="" textlink="">
          <xdr:nvSpPr>
            <xdr:cNvPr id="2074" name="Button 26" hidden="1">
              <a:extLst>
                <a:ext uri="{63B3BB69-23CF-44E3-9099-C40C66FF867C}">
                  <a14:compatExt spid="_x0000_s2074"/>
                </a:ext>
                <a:ext uri="{FF2B5EF4-FFF2-40B4-BE49-F238E27FC236}">
                  <a16:creationId xmlns:a16="http://schemas.microsoft.com/office/drawing/2014/main" id="{00000000-0008-0000-0200-00001A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2800" b="1" i="0" u="none" strike="noStrike" baseline="0">
                  <a:solidFill>
                    <a:srgbClr val="000000"/>
                  </a:solidFill>
                  <a:latin typeface="Calibri" pitchFamily="2" charset="0"/>
                  <a:cs typeface="Calibri" pitchFamily="2"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38100</xdr:colOff>
          <xdr:row>56</xdr:row>
          <xdr:rowOff>63500</xdr:rowOff>
        </xdr:from>
        <xdr:to>
          <xdr:col>25</xdr:col>
          <xdr:colOff>977900</xdr:colOff>
          <xdr:row>57</xdr:row>
          <xdr:rowOff>304800</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200-000020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200" b="0" i="0" u="none" strike="noStrike" baseline="0">
                  <a:solidFill>
                    <a:srgbClr val="000000"/>
                  </a:solidFill>
                  <a:latin typeface="Calibri" pitchFamily="2" charset="0"/>
                  <a:cs typeface="Calibri" pitchFamily="2" charset="0"/>
                </a:rPr>
                <a:t>Reset 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63500</xdr:colOff>
          <xdr:row>11</xdr:row>
          <xdr:rowOff>114300</xdr:rowOff>
        </xdr:from>
        <xdr:to>
          <xdr:col>13</xdr:col>
          <xdr:colOff>190500</xdr:colOff>
          <xdr:row>14</xdr:row>
          <xdr:rowOff>139700</xdr:rowOff>
        </xdr:to>
        <xdr:sp macro="" textlink="">
          <xdr:nvSpPr>
            <xdr:cNvPr id="2133" name="Button 85" hidden="1">
              <a:extLst>
                <a:ext uri="{63B3BB69-23CF-44E3-9099-C40C66FF867C}">
                  <a14:compatExt spid="_x0000_s2133"/>
                </a:ext>
                <a:ext uri="{FF2B5EF4-FFF2-40B4-BE49-F238E27FC236}">
                  <a16:creationId xmlns:a16="http://schemas.microsoft.com/office/drawing/2014/main" id="{00000000-0008-0000-0200-00005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400" b="1" i="0" u="none" strike="noStrike" baseline="0">
                  <a:solidFill>
                    <a:srgbClr val="000000"/>
                  </a:solidFill>
                  <a:latin typeface="Calibri" pitchFamily="2" charset="0"/>
                  <a:cs typeface="Calibri" pitchFamily="2" charset="0"/>
                </a:rPr>
                <a:t>Use</a:t>
              </a:r>
            </a:p>
            <a:p>
              <a:pPr algn="ctr" rtl="0">
                <a:defRPr sz="1000"/>
              </a:pPr>
              <a:r>
                <a:rPr lang="en-GB" sz="1400" b="0" i="0" u="none" strike="noStrike" baseline="0">
                  <a:solidFill>
                    <a:srgbClr val="000000"/>
                  </a:solidFill>
                  <a:latin typeface="Calibri" pitchFamily="2" charset="0"/>
                  <a:cs typeface="Calibri" pitchFamily="2" charset="0"/>
                </a:rPr>
                <a:t>the Pre-defined strategy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63500</xdr:colOff>
          <xdr:row>14</xdr:row>
          <xdr:rowOff>177800</xdr:rowOff>
        </xdr:from>
        <xdr:to>
          <xdr:col>13</xdr:col>
          <xdr:colOff>190500</xdr:colOff>
          <xdr:row>17</xdr:row>
          <xdr:rowOff>114300</xdr:rowOff>
        </xdr:to>
        <xdr:sp macro="" textlink="">
          <xdr:nvSpPr>
            <xdr:cNvPr id="2152" name="Button 104" hidden="1">
              <a:extLst>
                <a:ext uri="{63B3BB69-23CF-44E3-9099-C40C66FF867C}">
                  <a14:compatExt spid="_x0000_s2152"/>
                </a:ext>
                <a:ext uri="{FF2B5EF4-FFF2-40B4-BE49-F238E27FC236}">
                  <a16:creationId xmlns:a16="http://schemas.microsoft.com/office/drawing/2014/main" id="{00000000-0008-0000-0200-00006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400" b="1" i="0" u="none" strike="noStrike" baseline="0">
                  <a:solidFill>
                    <a:srgbClr val="000000"/>
                  </a:solidFill>
                  <a:latin typeface="Calibri" pitchFamily="2" charset="0"/>
                  <a:cs typeface="Calibri" pitchFamily="2" charset="0"/>
                </a:rPr>
                <a:t>Save</a:t>
              </a:r>
              <a:endParaRPr lang="en-GB" sz="1400" b="0" i="0" u="none" strike="noStrike" baseline="0">
                <a:solidFill>
                  <a:srgbClr val="000000"/>
                </a:solidFill>
                <a:latin typeface="Calibri" pitchFamily="2" charset="0"/>
                <a:cs typeface="Calibri" pitchFamily="2" charset="0"/>
              </a:endParaRPr>
            </a:p>
            <a:p>
              <a:pPr algn="ctr" rtl="0">
                <a:defRPr sz="1000"/>
              </a:pPr>
              <a:r>
                <a:rPr lang="en-GB" sz="1400" b="0" i="0" u="none" strike="noStrike" baseline="0">
                  <a:solidFill>
                    <a:srgbClr val="000000"/>
                  </a:solidFill>
                  <a:latin typeface="Calibri" pitchFamily="2" charset="0"/>
                  <a:cs typeface="Calibri" pitchFamily="2" charset="0"/>
                </a:rPr>
                <a:t>current strategy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12</xdr:row>
          <xdr:rowOff>177800</xdr:rowOff>
        </xdr:from>
        <xdr:to>
          <xdr:col>13</xdr:col>
          <xdr:colOff>1473200</xdr:colOff>
          <xdr:row>15</xdr:row>
          <xdr:rowOff>88900</xdr:rowOff>
        </xdr:to>
        <xdr:sp macro="" textlink="">
          <xdr:nvSpPr>
            <xdr:cNvPr id="2171" name="Button 123" hidden="1">
              <a:extLst>
                <a:ext uri="{63B3BB69-23CF-44E3-9099-C40C66FF867C}">
                  <a14:compatExt spid="_x0000_s2171"/>
                </a:ext>
                <a:ext uri="{FF2B5EF4-FFF2-40B4-BE49-F238E27FC236}">
                  <a16:creationId xmlns:a16="http://schemas.microsoft.com/office/drawing/2014/main" id="{00000000-0008-0000-0200-00007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none" strike="noStrike" baseline="0">
                  <a:solidFill>
                    <a:srgbClr val="000000"/>
                  </a:solidFill>
                  <a:latin typeface="Calibri" pitchFamily="2" charset="0"/>
                  <a:cs typeface="Calibri" pitchFamily="2" charset="0"/>
                </a:rPr>
                <a:t>Delete</a:t>
              </a:r>
            </a:p>
            <a:p>
              <a:pPr algn="ctr" rtl="0">
                <a:defRPr sz="1000"/>
              </a:pPr>
              <a:r>
                <a:rPr lang="en-GB" sz="1200" b="0" i="0" u="none" strike="noStrike" baseline="0">
                  <a:solidFill>
                    <a:srgbClr val="000000"/>
                  </a:solidFill>
                  <a:latin typeface="Calibri" pitchFamily="2" charset="0"/>
                  <a:cs typeface="Calibri" pitchFamily="2" charset="0"/>
                </a:rPr>
                <a:t>the Pre-defined strategy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368300</xdr:colOff>
          <xdr:row>24</xdr:row>
          <xdr:rowOff>76200</xdr:rowOff>
        </xdr:from>
        <xdr:to>
          <xdr:col>9</xdr:col>
          <xdr:colOff>139700</xdr:colOff>
          <xdr:row>25</xdr:row>
          <xdr:rowOff>38100</xdr:rowOff>
        </xdr:to>
        <xdr:sp macro="" textlink="">
          <xdr:nvSpPr>
            <xdr:cNvPr id="2189" name="Button 141" hidden="1">
              <a:extLst>
                <a:ext uri="{63B3BB69-23CF-44E3-9099-C40C66FF867C}">
                  <a14:compatExt spid="_x0000_s2189"/>
                </a:ext>
                <a:ext uri="{FF2B5EF4-FFF2-40B4-BE49-F238E27FC236}">
                  <a16:creationId xmlns:a16="http://schemas.microsoft.com/office/drawing/2014/main" id="{00000000-0008-0000-0200-00008D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none" strike="noStrike" baseline="0">
                  <a:solidFill>
                    <a:srgbClr val="000000"/>
                  </a:solidFill>
                  <a:latin typeface="Calibri" pitchFamily="2" charset="0"/>
                  <a:cs typeface="Calibri" pitchFamily="2" charset="0"/>
                </a:rPr>
                <a:t>Short this current strategy</a:t>
              </a:r>
              <a:endParaRPr lang="en-GB" sz="1200" b="0" i="0" u="none" strike="noStrike" baseline="0">
                <a:solidFill>
                  <a:srgbClr val="000000"/>
                </a:solidFill>
                <a:latin typeface="Calibri" pitchFamily="2" charset="0"/>
                <a:cs typeface="Calibri" pitchFamily="2" charset="0"/>
              </a:endParaRPr>
            </a:p>
            <a:p>
              <a:pPr algn="ctr" rtl="0">
                <a:defRPr sz="1000"/>
              </a:pPr>
              <a:r>
                <a:rPr lang="en-GB" sz="1200" b="0" i="0" u="none" strike="noStrike" baseline="0">
                  <a:solidFill>
                    <a:srgbClr val="000000"/>
                  </a:solidFill>
                  <a:latin typeface="Calibri" pitchFamily="2" charset="0"/>
                  <a:cs typeface="Calibri" pitchFamily="2" charset="0"/>
                </a:rPr>
                <a:t>(switch long and short positions)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50800</xdr:colOff>
          <xdr:row>14</xdr:row>
          <xdr:rowOff>50800</xdr:rowOff>
        </xdr:from>
        <xdr:to>
          <xdr:col>19</xdr:col>
          <xdr:colOff>876300</xdr:colOff>
          <xdr:row>16</xdr:row>
          <xdr:rowOff>190500</xdr:rowOff>
        </xdr:to>
        <xdr:sp macro="" textlink="">
          <xdr:nvSpPr>
            <xdr:cNvPr id="2210" name="Button 162" hidden="1">
              <a:extLst>
                <a:ext uri="{63B3BB69-23CF-44E3-9099-C40C66FF867C}">
                  <a14:compatExt spid="_x0000_s2210"/>
                </a:ext>
                <a:ext uri="{FF2B5EF4-FFF2-40B4-BE49-F238E27FC236}">
                  <a16:creationId xmlns:a16="http://schemas.microsoft.com/office/drawing/2014/main" id="{00000000-0008-0000-0200-0000A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none" strike="noStrike" baseline="0">
                  <a:solidFill>
                    <a:srgbClr val="000000"/>
                  </a:solidFill>
                  <a:latin typeface="Calibri" pitchFamily="2" charset="0"/>
                  <a:cs typeface="Calibri" pitchFamily="2" charset="0"/>
                </a:rPr>
                <a:t>Pricing</a:t>
              </a:r>
              <a:endParaRPr lang="en-GB" sz="1200" b="0" i="0" u="none" strike="noStrike" baseline="0">
                <a:solidFill>
                  <a:srgbClr val="000000"/>
                </a:solidFill>
                <a:latin typeface="Calibri" pitchFamily="2" charset="0"/>
                <a:cs typeface="Calibri" pitchFamily="2" charset="0"/>
              </a:endParaRPr>
            </a:p>
            <a:p>
              <a:pPr algn="ctr" rtl="0">
                <a:defRPr sz="1000"/>
              </a:pPr>
              <a:r>
                <a:rPr lang="en-GB" sz="1100" b="0" i="0" u="none" strike="noStrike" baseline="0">
                  <a:solidFill>
                    <a:srgbClr val="000000"/>
                  </a:solidFill>
                  <a:latin typeface="Calibri" pitchFamily="2" charset="0"/>
                  <a:cs typeface="Calibri" pitchFamily="2" charset="0"/>
                </a:rPr>
                <a:t>Monte Carlo Simulation</a:t>
              </a:r>
              <a:r>
                <a:rPr lang="en-GB" sz="1200" b="0" i="0" u="none" strike="noStrike" baseline="0">
                  <a:solidFill>
                    <a:srgbClr val="000000"/>
                  </a:solidFill>
                  <a:latin typeface="Calibri" pitchFamily="2" charset="0"/>
                  <a:cs typeface="Calibri" pitchFamily="2" charset="0"/>
                </a:rPr>
                <a:t> </a:t>
              </a:r>
            </a:p>
          </xdr:txBody>
        </xdr:sp>
        <xdr:clientData fPrintsWithSheet="0"/>
      </xdr:twoCellAnchor>
    </mc:Choice>
    <mc:Fallback/>
  </mc:AlternateContent>
  <xdr:twoCellAnchor>
    <xdr:from>
      <xdr:col>20</xdr:col>
      <xdr:colOff>905933</xdr:colOff>
      <xdr:row>1</xdr:row>
      <xdr:rowOff>254000</xdr:rowOff>
    </xdr:from>
    <xdr:to>
      <xdr:col>29</xdr:col>
      <xdr:colOff>389466</xdr:colOff>
      <xdr:row>20</xdr:row>
      <xdr:rowOff>67734</xdr:rowOff>
    </xdr:to>
    <xdr:graphicFrame macro="">
      <xdr:nvGraphicFramePr>
        <xdr:cNvPr id="24" name="Chart Monte Carlo">
          <a:extLst>
            <a:ext uri="{FF2B5EF4-FFF2-40B4-BE49-F238E27FC236}">
              <a16:creationId xmlns:a16="http://schemas.microsoft.com/office/drawing/2014/main" id="{00000000-0008-0000-02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xdr:from>
          <xdr:col>19</xdr:col>
          <xdr:colOff>63500</xdr:colOff>
          <xdr:row>19</xdr:row>
          <xdr:rowOff>203200</xdr:rowOff>
        </xdr:from>
        <xdr:to>
          <xdr:col>19</xdr:col>
          <xdr:colOff>876300</xdr:colOff>
          <xdr:row>22</xdr:row>
          <xdr:rowOff>152400</xdr:rowOff>
        </xdr:to>
        <xdr:sp macro="" textlink="">
          <xdr:nvSpPr>
            <xdr:cNvPr id="2223" name="Button 175" hidden="1">
              <a:extLst>
                <a:ext uri="{63B3BB69-23CF-44E3-9099-C40C66FF867C}">
                  <a14:compatExt spid="_x0000_s2223"/>
                </a:ext>
                <a:ext uri="{FF2B5EF4-FFF2-40B4-BE49-F238E27FC236}">
                  <a16:creationId xmlns:a16="http://schemas.microsoft.com/office/drawing/2014/main" id="{00000000-0008-0000-0200-0000AF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none" strike="noStrike" baseline="0">
                  <a:solidFill>
                    <a:srgbClr val="000000"/>
                  </a:solidFill>
                  <a:latin typeface="Calibri" pitchFamily="2" charset="0"/>
                  <a:cs typeface="Calibri" pitchFamily="2" charset="0"/>
                </a:rPr>
                <a:t>Actualise Histogram</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mailto:guillaume.foure@edhec.com" TargetMode="External"/><Relationship Id="rId7" Type="http://schemas.openxmlformats.org/officeDocument/2006/relationships/ctrlProp" Target="../ctrlProps/ctrlProp1.xml"/><Relationship Id="rId2" Type="http://schemas.openxmlformats.org/officeDocument/2006/relationships/hyperlink" Target="https://www.linkedin.com/in/guillaume-foure/" TargetMode="External"/><Relationship Id="rId1" Type="http://schemas.openxmlformats.org/officeDocument/2006/relationships/hyperlink" Target="mailto:guillaume.foure@edhec.com"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hyperlink" Target="https://www.linkedin.com/in/guillaume-foure/" TargetMode="Externa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1.xml"/><Relationship Id="rId13" Type="http://schemas.openxmlformats.org/officeDocument/2006/relationships/ctrlProp" Target="../ctrlProps/ctrlProp16.xml"/><Relationship Id="rId18" Type="http://schemas.openxmlformats.org/officeDocument/2006/relationships/ctrlProp" Target="../ctrlProps/ctrlProp21.xml"/><Relationship Id="rId3" Type="http://schemas.openxmlformats.org/officeDocument/2006/relationships/ctrlProp" Target="../ctrlProps/ctrlProp6.xml"/><Relationship Id="rId7" Type="http://schemas.openxmlformats.org/officeDocument/2006/relationships/ctrlProp" Target="../ctrlProps/ctrlProp10.xml"/><Relationship Id="rId12" Type="http://schemas.openxmlformats.org/officeDocument/2006/relationships/ctrlProp" Target="../ctrlProps/ctrlProp15.xml"/><Relationship Id="rId17" Type="http://schemas.openxmlformats.org/officeDocument/2006/relationships/ctrlProp" Target="../ctrlProps/ctrlProp20.xml"/><Relationship Id="rId2" Type="http://schemas.openxmlformats.org/officeDocument/2006/relationships/vmlDrawing" Target="../drawings/vmlDrawing3.vml"/><Relationship Id="rId16" Type="http://schemas.openxmlformats.org/officeDocument/2006/relationships/ctrlProp" Target="../ctrlProps/ctrlProp19.xml"/><Relationship Id="rId1" Type="http://schemas.openxmlformats.org/officeDocument/2006/relationships/drawing" Target="../drawings/drawing3.xml"/><Relationship Id="rId6" Type="http://schemas.openxmlformats.org/officeDocument/2006/relationships/ctrlProp" Target="../ctrlProps/ctrlProp9.xml"/><Relationship Id="rId11" Type="http://schemas.openxmlformats.org/officeDocument/2006/relationships/ctrlProp" Target="../ctrlProps/ctrlProp14.xml"/><Relationship Id="rId5" Type="http://schemas.openxmlformats.org/officeDocument/2006/relationships/ctrlProp" Target="../ctrlProps/ctrlProp8.xml"/><Relationship Id="rId15" Type="http://schemas.openxmlformats.org/officeDocument/2006/relationships/ctrlProp" Target="../ctrlProps/ctrlProp18.xml"/><Relationship Id="rId10" Type="http://schemas.openxmlformats.org/officeDocument/2006/relationships/ctrlProp" Target="../ctrlProps/ctrlProp13.xml"/><Relationship Id="rId19" Type="http://schemas.openxmlformats.org/officeDocument/2006/relationships/comments" Target="../comments1.xml"/><Relationship Id="rId4" Type="http://schemas.openxmlformats.org/officeDocument/2006/relationships/ctrlProp" Target="../ctrlProps/ctrlProp7.xml"/><Relationship Id="rId9" Type="http://schemas.openxmlformats.org/officeDocument/2006/relationships/ctrlProp" Target="../ctrlProps/ctrlProp12.xml"/><Relationship Id="rId14" Type="http://schemas.openxmlformats.org/officeDocument/2006/relationships/ctrlProp" Target="../ctrlProps/ctrlProp17.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2651B6-F25F-6F48-94E5-0A264BDCA1BA}">
  <sheetPr codeName="Sheet5">
    <tabColor rgb="FFFFC000"/>
  </sheetPr>
  <dimension ref="A1:M31"/>
  <sheetViews>
    <sheetView zoomScale="69" zoomScaleNormal="100" workbookViewId="0"/>
  </sheetViews>
  <sheetFormatPr baseColWidth="10" defaultColWidth="0" defaultRowHeight="16" zeroHeight="1" x14ac:dyDescent="0.2"/>
  <cols>
    <col min="1" max="5" width="10.83203125" style="268" customWidth="1"/>
    <col min="6" max="6" width="12.83203125" style="268" customWidth="1"/>
    <col min="7" max="7" width="13" style="268" customWidth="1"/>
    <col min="8" max="8" width="12.6640625" style="268" customWidth="1"/>
    <col min="9" max="13" width="10.83203125" style="268" customWidth="1"/>
    <col min="14" max="16384" width="10.83203125" style="268" hidden="1"/>
  </cols>
  <sheetData>
    <row r="1" spans="3:11" x14ac:dyDescent="0.2"/>
    <row r="2" spans="3:11" x14ac:dyDescent="0.2"/>
    <row r="3" spans="3:11" ht="24" customHeight="1" x14ac:dyDescent="0.2">
      <c r="C3" s="419" t="s">
        <v>712</v>
      </c>
      <c r="D3" s="419"/>
      <c r="E3" s="419"/>
      <c r="F3" s="419"/>
      <c r="G3" s="419"/>
      <c r="H3" s="419"/>
      <c r="I3" s="419"/>
      <c r="J3" s="419"/>
      <c r="K3" s="419"/>
    </row>
    <row r="4" spans="3:11" ht="16" customHeight="1" x14ac:dyDescent="0.2">
      <c r="C4" s="419"/>
      <c r="D4" s="419"/>
      <c r="E4" s="419"/>
      <c r="F4" s="419"/>
      <c r="G4" s="419"/>
      <c r="H4" s="419"/>
      <c r="I4" s="419"/>
      <c r="J4" s="419"/>
      <c r="K4" s="419"/>
    </row>
    <row r="5" spans="3:11" ht="16" customHeight="1" x14ac:dyDescent="0.2">
      <c r="C5" s="419"/>
      <c r="D5" s="419"/>
      <c r="E5" s="419"/>
      <c r="F5" s="419"/>
      <c r="G5" s="419"/>
      <c r="H5" s="419"/>
      <c r="I5" s="419"/>
      <c r="J5" s="419"/>
      <c r="K5" s="419"/>
    </row>
    <row r="6" spans="3:11" ht="16" customHeight="1" x14ac:dyDescent="0.2">
      <c r="C6" s="419"/>
      <c r="D6" s="419"/>
      <c r="E6" s="419"/>
      <c r="F6" s="419"/>
      <c r="G6" s="419"/>
      <c r="H6" s="419"/>
      <c r="I6" s="419"/>
      <c r="J6" s="419"/>
      <c r="K6" s="419"/>
    </row>
    <row r="7" spans="3:11" ht="16" customHeight="1" x14ac:dyDescent="0.2">
      <c r="C7" s="419"/>
      <c r="D7" s="419"/>
      <c r="E7" s="419"/>
      <c r="F7" s="419"/>
      <c r="G7" s="419"/>
      <c r="H7" s="419"/>
      <c r="I7" s="419"/>
      <c r="J7" s="419"/>
      <c r="K7" s="419"/>
    </row>
    <row r="8" spans="3:11" ht="16" customHeight="1" x14ac:dyDescent="0.2">
      <c r="C8" s="419"/>
      <c r="D8" s="419"/>
      <c r="E8" s="419"/>
      <c r="F8" s="419"/>
      <c r="G8" s="419"/>
      <c r="H8" s="419"/>
      <c r="I8" s="419"/>
      <c r="J8" s="419"/>
      <c r="K8" s="419"/>
    </row>
    <row r="9" spans="3:11" ht="16" customHeight="1" x14ac:dyDescent="0.2">
      <c r="C9" s="419"/>
      <c r="D9" s="419"/>
      <c r="E9" s="419"/>
      <c r="F9" s="419"/>
      <c r="G9" s="419"/>
      <c r="H9" s="419"/>
      <c r="I9" s="419"/>
      <c r="J9" s="419"/>
      <c r="K9" s="419"/>
    </row>
    <row r="10" spans="3:11" x14ac:dyDescent="0.2">
      <c r="C10" s="419"/>
      <c r="D10" s="419"/>
      <c r="E10" s="419"/>
      <c r="F10" s="419"/>
      <c r="G10" s="419"/>
      <c r="H10" s="419"/>
      <c r="I10" s="419"/>
      <c r="J10" s="419"/>
      <c r="K10" s="419"/>
    </row>
    <row r="11" spans="3:11" ht="38" customHeight="1" x14ac:dyDescent="0.2"/>
    <row r="12" spans="3:11" ht="20" customHeight="1" x14ac:dyDescent="0.2">
      <c r="F12" s="420" t="s">
        <v>756</v>
      </c>
      <c r="G12" s="420"/>
      <c r="H12" s="420"/>
    </row>
    <row r="13" spans="3:11" ht="29" customHeight="1" x14ac:dyDescent="0.2"/>
    <row r="14" spans="3:11" ht="31" x14ac:dyDescent="0.35">
      <c r="E14" s="421" t="s">
        <v>139</v>
      </c>
      <c r="F14" s="421"/>
      <c r="G14" s="421"/>
      <c r="H14" s="421"/>
      <c r="I14" s="421"/>
    </row>
    <row r="15" spans="3:11" ht="17" customHeight="1" x14ac:dyDescent="0.35">
      <c r="E15" s="269"/>
      <c r="F15" s="269"/>
      <c r="G15" s="269"/>
      <c r="H15" s="269"/>
      <c r="I15" s="269"/>
      <c r="J15" s="276" t="s">
        <v>146</v>
      </c>
    </row>
    <row r="16" spans="3:11" ht="22" customHeight="1" x14ac:dyDescent="0.2">
      <c r="E16" s="422" t="s">
        <v>140</v>
      </c>
      <c r="F16" s="422"/>
      <c r="G16" s="422"/>
      <c r="H16" s="422"/>
      <c r="I16" s="422"/>
      <c r="J16" s="275" t="s">
        <v>144</v>
      </c>
    </row>
    <row r="17" spans="3:11" ht="35" customHeight="1" x14ac:dyDescent="0.2">
      <c r="E17" s="425" t="s">
        <v>141</v>
      </c>
      <c r="F17" s="425"/>
      <c r="G17" s="425"/>
      <c r="H17" s="425"/>
      <c r="I17" s="425"/>
      <c r="J17" s="275" t="s">
        <v>145</v>
      </c>
    </row>
    <row r="18" spans="3:11" ht="17" thickBot="1" x14ac:dyDescent="0.25">
      <c r="F18" s="272"/>
      <c r="G18" s="272"/>
      <c r="H18" s="272"/>
    </row>
    <row r="19" spans="3:11" ht="39" customHeight="1" thickTop="1" x14ac:dyDescent="0.2">
      <c r="F19" s="428"/>
      <c r="G19" s="428"/>
      <c r="H19" s="428"/>
    </row>
    <row r="20" spans="3:11" ht="22" thickBot="1" x14ac:dyDescent="0.3">
      <c r="C20" s="274" t="s">
        <v>142</v>
      </c>
      <c r="D20" s="272"/>
      <c r="E20" s="272"/>
      <c r="F20" s="272"/>
      <c r="G20" s="272"/>
      <c r="H20" s="272"/>
      <c r="I20" s="272"/>
      <c r="J20" s="272"/>
      <c r="K20" s="272"/>
    </row>
    <row r="21" spans="3:11" ht="299" customHeight="1" thickTop="1" x14ac:dyDescent="0.2">
      <c r="C21" s="426" t="s">
        <v>757</v>
      </c>
      <c r="D21" s="427"/>
      <c r="E21" s="427"/>
      <c r="F21" s="427"/>
      <c r="G21" s="427"/>
      <c r="H21" s="427"/>
      <c r="I21" s="427"/>
      <c r="J21" s="427"/>
      <c r="K21" s="427"/>
    </row>
    <row r="22" spans="3:11" x14ac:dyDescent="0.2"/>
    <row r="23" spans="3:11" x14ac:dyDescent="0.2">
      <c r="C23" s="429"/>
      <c r="D23" s="429"/>
      <c r="E23" s="429"/>
      <c r="F23" s="429"/>
      <c r="G23" s="429"/>
      <c r="H23" s="429"/>
      <c r="I23" s="429"/>
      <c r="J23" s="429"/>
      <c r="K23" s="429"/>
    </row>
    <row r="24" spans="3:11" x14ac:dyDescent="0.2"/>
    <row r="25" spans="3:11" ht="22" thickBot="1" x14ac:dyDescent="0.3">
      <c r="C25" s="273" t="s">
        <v>759</v>
      </c>
    </row>
    <row r="26" spans="3:11" s="271" customFormat="1" ht="126" customHeight="1" thickTop="1" thickBot="1" x14ac:dyDescent="0.25">
      <c r="C26" s="423" t="s">
        <v>760</v>
      </c>
      <c r="D26" s="424"/>
      <c r="E26" s="424"/>
      <c r="F26" s="424"/>
      <c r="G26" s="424"/>
      <c r="H26" s="424"/>
      <c r="I26" s="424"/>
      <c r="J26" s="424"/>
      <c r="K26" s="424"/>
    </row>
    <row r="27" spans="3:11" s="410" customFormat="1" ht="178" customHeight="1" thickTop="1" x14ac:dyDescent="0.2">
      <c r="C27" s="423" t="s">
        <v>761</v>
      </c>
      <c r="D27" s="424"/>
      <c r="E27" s="424"/>
      <c r="F27" s="424"/>
      <c r="G27" s="424"/>
      <c r="H27" s="424"/>
      <c r="I27" s="424"/>
      <c r="J27" s="424"/>
      <c r="K27" s="424"/>
    </row>
    <row r="28" spans="3:11" x14ac:dyDescent="0.2">
      <c r="C28" s="270"/>
      <c r="D28" s="270"/>
      <c r="E28" s="270"/>
      <c r="F28" s="270"/>
      <c r="G28" s="270"/>
      <c r="H28" s="270"/>
      <c r="I28" s="411"/>
      <c r="J28" s="270"/>
      <c r="K28" s="270"/>
    </row>
    <row r="29" spans="3:11" ht="73" customHeight="1" x14ac:dyDescent="0.2">
      <c r="C29" s="270"/>
      <c r="D29" s="270"/>
      <c r="E29" s="418" t="s">
        <v>762</v>
      </c>
      <c r="F29" s="418"/>
      <c r="G29" s="418"/>
      <c r="H29" s="418"/>
      <c r="I29" s="412" t="s">
        <v>143</v>
      </c>
      <c r="J29" s="270"/>
      <c r="K29" s="270"/>
    </row>
    <row r="30" spans="3:11" x14ac:dyDescent="0.2"/>
    <row r="31" spans="3:11" x14ac:dyDescent="0.2"/>
  </sheetData>
  <sheetProtection algorithmName="SHA-512" hashValue="nQ2+ZQtn37KODTsmoV459+cE0yhU3/Yv2QRfawmoFWuLwAMcaSLsirdUOuoCZTcBF/MfLShEuu1KNVXS7fGVSQ==" saltValue="/Pf4POy1R9h7nFsMSf2FVA==" spinCount="100000" sheet="1" objects="1" scenarios="1" selectLockedCells="1"/>
  <mergeCells count="11">
    <mergeCell ref="E29:H29"/>
    <mergeCell ref="C3:K10"/>
    <mergeCell ref="F12:H12"/>
    <mergeCell ref="E14:I14"/>
    <mergeCell ref="E16:I16"/>
    <mergeCell ref="C26:K26"/>
    <mergeCell ref="E17:I17"/>
    <mergeCell ref="C21:K21"/>
    <mergeCell ref="F19:H19"/>
    <mergeCell ref="C23:K23"/>
    <mergeCell ref="C27:K27"/>
  </mergeCells>
  <hyperlinks>
    <hyperlink ref="E17" r:id="rId1" xr:uid="{2E410399-A5D4-384D-99C7-6716566C3E2B}"/>
    <hyperlink ref="E16" r:id="rId2" xr:uid="{A8AFB697-717B-DE45-A764-0356EFD5417E}"/>
    <hyperlink ref="J17" r:id="rId3" display="mailto:guillaume.foure@edhec.com" xr:uid="{EE9C38B8-EFD1-444A-9DF6-B0FB1DF38DFB}"/>
    <hyperlink ref="J16" r:id="rId4" display="https://www.linkedin.com/in/guillaume-foure/" xr:uid="{B027878C-7E69-5847-BD1C-059EE9B35B05}"/>
  </hyperlinks>
  <pageMargins left="0.7" right="0.7" top="0.75" bottom="0.75" header="0.3" footer="0.3"/>
  <pageSetup paperSize="9" orientation="portrait" horizontalDpi="0" verticalDpi="0"/>
  <drawing r:id="rId5"/>
  <legacyDrawing r:id="rId6"/>
  <mc:AlternateContent xmlns:mc="http://schemas.openxmlformats.org/markup-compatibility/2006">
    <mc:Choice Requires="x14">
      <controls>
        <mc:AlternateContent xmlns:mc="http://schemas.openxmlformats.org/markup-compatibility/2006">
          <mc:Choice Requires="x14">
            <control shapeId="4097" r:id="rId7" name="Button 1">
              <controlPr defaultSize="0" print="0" autoFill="0" autoPict="0" macro="[0]!Module4.Agreement">
                <anchor moveWithCells="1" sizeWithCells="1">
                  <from>
                    <xdr:col>9</xdr:col>
                    <xdr:colOff>127000</xdr:colOff>
                    <xdr:row>27</xdr:row>
                    <xdr:rowOff>127000</xdr:rowOff>
                  </from>
                  <to>
                    <xdr:col>11</xdr:col>
                    <xdr:colOff>266700</xdr:colOff>
                    <xdr:row>29</xdr:row>
                    <xdr:rowOff>101600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HC327"/>
  <sheetViews>
    <sheetView showGridLines="0" zoomScale="75" zoomScaleNormal="64" workbookViewId="0">
      <selection activeCell="E5" sqref="E5"/>
    </sheetView>
  </sheetViews>
  <sheetFormatPr baseColWidth="10" defaultRowHeight="16" x14ac:dyDescent="0.2"/>
  <cols>
    <col min="1" max="1" width="10.83203125" style="44"/>
    <col min="2" max="2" width="11.83203125" bestFit="1" customWidth="1"/>
    <col min="3" max="3" width="16.6640625" customWidth="1"/>
    <col min="5" max="5" width="13.6640625" customWidth="1"/>
    <col min="9" max="9" width="13.6640625" bestFit="1" customWidth="1"/>
    <col min="10" max="10" width="15.1640625" bestFit="1" customWidth="1"/>
    <col min="11" max="11" width="12" customWidth="1"/>
    <col min="12" max="12" width="12.5" bestFit="1" customWidth="1"/>
    <col min="16" max="16" width="10.83203125" customWidth="1"/>
    <col min="17" max="17" width="15.1640625" bestFit="1" customWidth="1"/>
    <col min="19" max="19" width="12.5" bestFit="1" customWidth="1"/>
  </cols>
  <sheetData>
    <row r="1" spans="1:33" ht="17" thickBot="1" x14ac:dyDescent="0.25">
      <c r="H1" s="62"/>
      <c r="I1" s="60"/>
      <c r="J1" s="60"/>
      <c r="K1" s="60"/>
      <c r="L1" s="60"/>
      <c r="M1" s="60"/>
      <c r="N1" s="60"/>
      <c r="O1" s="60"/>
      <c r="P1" s="60"/>
      <c r="Q1" s="60"/>
      <c r="R1" s="60"/>
      <c r="S1" s="60"/>
      <c r="T1" s="60"/>
      <c r="U1" s="60"/>
    </row>
    <row r="2" spans="1:33" ht="22" thickBot="1" x14ac:dyDescent="0.3">
      <c r="A2" s="45"/>
      <c r="B2" s="451" t="s">
        <v>16</v>
      </c>
      <c r="C2" s="451"/>
      <c r="D2" s="451"/>
      <c r="E2" s="451"/>
      <c r="F2" s="451"/>
      <c r="G2" s="46"/>
      <c r="H2" s="58"/>
      <c r="I2" s="464" t="s">
        <v>21</v>
      </c>
      <c r="J2" s="465"/>
      <c r="K2" s="465"/>
      <c r="L2" s="465"/>
      <c r="M2" s="466"/>
      <c r="N2" s="61"/>
      <c r="O2" s="61"/>
      <c r="P2" s="464" t="s">
        <v>49</v>
      </c>
      <c r="Q2" s="465"/>
      <c r="R2" s="465"/>
      <c r="S2" s="465"/>
      <c r="T2" s="466"/>
      <c r="U2" s="60"/>
    </row>
    <row r="3" spans="1:33" s="10" customFormat="1" ht="22" thickBot="1" x14ac:dyDescent="0.3">
      <c r="A3" s="43"/>
      <c r="D3" s="11"/>
      <c r="E3" s="11"/>
      <c r="F3" s="11"/>
      <c r="G3" s="11"/>
      <c r="H3" s="59"/>
      <c r="I3" s="65"/>
      <c r="J3" s="61"/>
      <c r="K3" s="61"/>
      <c r="L3" s="61"/>
      <c r="M3" s="66"/>
      <c r="N3" s="61"/>
      <c r="O3" s="61"/>
      <c r="P3" s="60"/>
      <c r="Q3" s="60"/>
      <c r="R3" s="60"/>
      <c r="S3" s="60"/>
      <c r="T3" s="60"/>
      <c r="U3" s="60"/>
    </row>
    <row r="4" spans="1:33" ht="20" thickBot="1" x14ac:dyDescent="0.3">
      <c r="E4" s="12" t="s">
        <v>17</v>
      </c>
      <c r="H4" s="62"/>
      <c r="I4" s="65"/>
      <c r="J4" s="61"/>
      <c r="K4" s="61"/>
      <c r="L4" s="81" t="s">
        <v>17</v>
      </c>
      <c r="M4" s="66"/>
      <c r="N4" s="61"/>
      <c r="O4" s="61"/>
      <c r="P4" s="60"/>
      <c r="Q4" s="467" t="s">
        <v>18</v>
      </c>
      <c r="R4" s="468"/>
      <c r="S4" s="469"/>
      <c r="T4" s="60"/>
      <c r="U4" s="60"/>
    </row>
    <row r="5" spans="1:33" ht="17" thickBot="1" x14ac:dyDescent="0.25">
      <c r="C5" s="452" t="s">
        <v>19</v>
      </c>
      <c r="D5" s="453"/>
      <c r="E5" s="28" t="s">
        <v>0</v>
      </c>
      <c r="H5" s="62"/>
      <c r="I5" s="65"/>
      <c r="J5" s="436" t="s">
        <v>19</v>
      </c>
      <c r="K5" s="474"/>
      <c r="L5" s="82" t="str">
        <f>Option</f>
        <v>Call</v>
      </c>
      <c r="M5" s="66"/>
      <c r="N5" s="61"/>
      <c r="O5" s="61"/>
      <c r="P5" s="60"/>
      <c r="Q5" s="60"/>
      <c r="R5" s="60"/>
      <c r="S5" s="60"/>
      <c r="T5" s="60"/>
      <c r="U5" s="60"/>
    </row>
    <row r="6" spans="1:33" ht="17" thickBot="1" x14ac:dyDescent="0.25">
      <c r="C6" s="4" t="s">
        <v>7</v>
      </c>
      <c r="D6" s="5" t="s">
        <v>1</v>
      </c>
      <c r="E6" s="29">
        <v>3360.47</v>
      </c>
      <c r="H6" s="62"/>
      <c r="I6" s="65"/>
      <c r="J6" s="72" t="s">
        <v>7</v>
      </c>
      <c r="K6" s="73" t="s">
        <v>1</v>
      </c>
      <c r="L6" s="78">
        <f>S</f>
        <v>3360.47</v>
      </c>
      <c r="M6" s="66"/>
      <c r="N6" s="61"/>
      <c r="O6" s="61"/>
      <c r="P6" s="60"/>
      <c r="Q6" s="446" t="s">
        <v>44</v>
      </c>
      <c r="R6" s="463"/>
      <c r="S6" s="83">
        <f>IF(Option = "Call", EXP(-q*T) * _xlfn.NORM.DIST(D14, 0, 1, T), - EXP(-q*T)*_xlfn.NORM.DIST(-D14, 0, 1, T))</f>
        <v>0.53189123926494541</v>
      </c>
      <c r="T6" s="60"/>
      <c r="U6" s="60"/>
    </row>
    <row r="7" spans="1:33" ht="17" thickBot="1" x14ac:dyDescent="0.25">
      <c r="C7" s="6" t="s">
        <v>6</v>
      </c>
      <c r="D7" s="7" t="s">
        <v>2</v>
      </c>
      <c r="E7" s="30">
        <v>3360</v>
      </c>
      <c r="H7" s="62"/>
      <c r="I7" s="65"/>
      <c r="J7" s="74" t="s">
        <v>6</v>
      </c>
      <c r="K7" s="75" t="s">
        <v>2</v>
      </c>
      <c r="L7" s="79">
        <f>K</f>
        <v>3360</v>
      </c>
      <c r="M7" s="66"/>
      <c r="N7" s="61"/>
      <c r="O7" s="61"/>
      <c r="P7" s="60"/>
      <c r="Q7" s="60"/>
      <c r="R7" s="60"/>
      <c r="S7" s="63"/>
      <c r="T7" s="60"/>
      <c r="U7" s="60"/>
    </row>
    <row r="8" spans="1:33" ht="17" thickBot="1" x14ac:dyDescent="0.25">
      <c r="C8" s="6" t="s">
        <v>8</v>
      </c>
      <c r="D8" s="7" t="s">
        <v>3</v>
      </c>
      <c r="E8" s="30">
        <v>2E-3</v>
      </c>
      <c r="H8" s="62"/>
      <c r="I8" s="65"/>
      <c r="J8" s="74" t="s">
        <v>8</v>
      </c>
      <c r="K8" s="75" t="s">
        <v>3</v>
      </c>
      <c r="L8" s="79">
        <f>riskfree</f>
        <v>2E-3</v>
      </c>
      <c r="M8" s="66"/>
      <c r="N8" s="61"/>
      <c r="O8" s="61"/>
      <c r="P8" s="60"/>
      <c r="Q8" s="446" t="s">
        <v>45</v>
      </c>
      <c r="R8" s="463"/>
      <c r="S8" s="83">
        <f>1/SQRT(2*PI()) * EXP((-(D14)^(2))/2) * EXP(-q*T) / (S*sigma*SQRT(T))</f>
        <v>9.5136915236716836E-3</v>
      </c>
      <c r="T8" s="60"/>
      <c r="U8" s="60"/>
    </row>
    <row r="9" spans="1:33" ht="17" thickBot="1" x14ac:dyDescent="0.25">
      <c r="C9" s="6" t="s">
        <v>79</v>
      </c>
      <c r="D9" s="7" t="s">
        <v>4</v>
      </c>
      <c r="E9" s="30">
        <v>0</v>
      </c>
      <c r="H9" s="62"/>
      <c r="I9" s="65"/>
      <c r="J9" s="6" t="s">
        <v>79</v>
      </c>
      <c r="K9" s="75" t="s">
        <v>4</v>
      </c>
      <c r="L9" s="79">
        <f>q</f>
        <v>0</v>
      </c>
      <c r="M9" s="66"/>
      <c r="N9" s="61"/>
      <c r="O9" s="61"/>
      <c r="P9" s="60"/>
      <c r="Q9" s="60"/>
      <c r="R9" s="60"/>
      <c r="S9" s="63"/>
      <c r="T9" s="60"/>
      <c r="U9" s="60"/>
    </row>
    <row r="10" spans="1:33" ht="17" thickBot="1" x14ac:dyDescent="0.25">
      <c r="C10" s="6" t="s">
        <v>10</v>
      </c>
      <c r="D10" s="7" t="s">
        <v>5</v>
      </c>
      <c r="E10" s="30">
        <v>0.02</v>
      </c>
      <c r="H10" s="62"/>
      <c r="I10" s="65"/>
      <c r="J10" s="76" t="s">
        <v>11</v>
      </c>
      <c r="K10" s="77" t="s">
        <v>12</v>
      </c>
      <c r="L10" s="80">
        <f>T</f>
        <v>0.39178082191780822</v>
      </c>
      <c r="M10" s="66"/>
      <c r="N10" s="61"/>
      <c r="O10" s="61"/>
      <c r="P10" s="60"/>
      <c r="Q10" s="446" t="s">
        <v>46</v>
      </c>
      <c r="R10" s="463"/>
      <c r="S10" s="83" cm="1">
        <f t="array" ref="S10">dN(D14)* (S*EXP(-q*T)*SQRT(T))/100</f>
        <v>8.3645208958000552</v>
      </c>
      <c r="T10" s="60" t="s">
        <v>763</v>
      </c>
      <c r="U10" s="60"/>
      <c r="AG10" s="52"/>
    </row>
    <row r="11" spans="1:33" ht="17" thickBot="1" x14ac:dyDescent="0.25">
      <c r="C11" s="8" t="s">
        <v>11</v>
      </c>
      <c r="D11" s="9" t="s">
        <v>12</v>
      </c>
      <c r="E11" s="31">
        <f>143/365</f>
        <v>0.39178082191780822</v>
      </c>
      <c r="H11" s="62"/>
      <c r="I11" s="65"/>
      <c r="J11" s="436" t="s">
        <v>32</v>
      </c>
      <c r="K11" s="437"/>
      <c r="L11" s="71">
        <v>181.05</v>
      </c>
      <c r="M11" s="66"/>
      <c r="N11" s="61"/>
      <c r="O11" s="61"/>
      <c r="P11" s="60"/>
      <c r="Q11" s="60"/>
      <c r="R11" s="60"/>
      <c r="S11" s="63"/>
      <c r="T11" s="60"/>
      <c r="U11" s="60"/>
    </row>
    <row r="12" spans="1:33" s="10" customFormat="1" ht="17" thickBot="1" x14ac:dyDescent="0.25">
      <c r="A12" s="43"/>
      <c r="C12" s="13"/>
      <c r="D12" s="14"/>
      <c r="E12" s="15"/>
      <c r="H12" s="62"/>
      <c r="I12" s="65"/>
      <c r="J12" s="61"/>
      <c r="K12" s="61"/>
      <c r="L12" s="61"/>
      <c r="M12" s="66"/>
      <c r="N12" s="61"/>
      <c r="O12" s="61"/>
      <c r="P12" s="60"/>
      <c r="Q12" s="446" t="s">
        <v>47</v>
      </c>
      <c r="R12" s="463"/>
      <c r="S12" s="83" cm="1">
        <f t="array" ref="S12" xml:space="preserve"> (- (S * EXP(-q*T) * dN(IF(Option="Call", 1, -1) *D14) * sigma) / (2*SQRT(T)) + IF(Option="Call", 1, -1) * q*S*EXP(-q*T)*_xlfn.NORM.DIST( IF(Option="Call", 1, -1) *D14, 0, 1, TRUE) -  IF(Option="Call", 1, -1) * riskfree * K* EXP(-riskfree*T)*_xlfn.NORM.DIST( IF(Option="Call", 1, -1) *D15, 0, 1, TRUE))/365</f>
        <v>-6.8186485874637257E-2</v>
      </c>
      <c r="T12" s="60" t="s">
        <v>764</v>
      </c>
      <c r="U12" s="60"/>
    </row>
    <row r="13" spans="1:33" ht="20" thickBot="1" x14ac:dyDescent="0.3">
      <c r="C13" s="430" t="s">
        <v>18</v>
      </c>
      <c r="D13" s="432"/>
      <c r="E13" s="431"/>
      <c r="H13" s="62"/>
      <c r="I13" s="65"/>
      <c r="J13" s="467" t="s">
        <v>18</v>
      </c>
      <c r="K13" s="468"/>
      <c r="L13" s="469"/>
      <c r="M13" s="66"/>
      <c r="N13" s="61"/>
      <c r="O13" s="61"/>
      <c r="P13" s="60"/>
      <c r="Q13" s="60"/>
      <c r="R13" s="60"/>
      <c r="S13" s="63"/>
      <c r="T13" s="60"/>
      <c r="U13" s="60"/>
    </row>
    <row r="14" spans="1:33" x14ac:dyDescent="0.2">
      <c r="C14" s="16" t="s">
        <v>14</v>
      </c>
      <c r="D14" s="459" cm="1">
        <f t="array" ref="D14">DOne( S, K, riskfree, q, sigma, T)</f>
        <v>8.0024812828941597E-2</v>
      </c>
      <c r="E14" s="472"/>
      <c r="H14" s="62"/>
      <c r="I14" s="65"/>
      <c r="J14" s="61"/>
      <c r="K14" s="61"/>
      <c r="L14" s="61"/>
      <c r="M14" s="66"/>
      <c r="N14" s="61"/>
      <c r="O14" s="61"/>
      <c r="P14" s="60"/>
      <c r="Q14" s="61"/>
      <c r="R14" s="61"/>
      <c r="S14" s="61"/>
      <c r="T14" s="60"/>
      <c r="U14" s="60"/>
    </row>
    <row r="15" spans="1:33" ht="17" thickBot="1" x14ac:dyDescent="0.25">
      <c r="C15" s="17" t="s">
        <v>15</v>
      </c>
      <c r="D15" s="449" cm="1">
        <f t="array" ref="D15">DTwo( S, K, riskfree, q, sigma, T)</f>
        <v>6.7506333337920207E-2</v>
      </c>
      <c r="E15" s="473"/>
      <c r="F15" s="113"/>
      <c r="H15" s="62"/>
      <c r="I15" s="65"/>
      <c r="J15" s="61"/>
      <c r="K15" s="61"/>
      <c r="L15" s="61"/>
      <c r="M15" s="66"/>
      <c r="N15" s="61"/>
      <c r="O15" s="61"/>
      <c r="P15" s="61"/>
      <c r="Q15" s="61"/>
      <c r="R15" s="61"/>
      <c r="S15" s="61"/>
      <c r="T15" s="61"/>
      <c r="U15" s="60"/>
    </row>
    <row r="16" spans="1:33" ht="17" thickBot="1" x14ac:dyDescent="0.25">
      <c r="C16" s="1"/>
      <c r="E16" s="26"/>
      <c r="H16" s="62"/>
      <c r="I16" s="65"/>
      <c r="J16" s="61"/>
      <c r="K16" s="61"/>
      <c r="L16" s="61"/>
      <c r="M16" s="66"/>
      <c r="N16" s="61"/>
      <c r="O16" s="61"/>
      <c r="P16" s="61"/>
      <c r="Q16" s="61"/>
      <c r="R16" s="61"/>
      <c r="S16" s="61"/>
      <c r="T16" s="61"/>
      <c r="U16" s="60"/>
    </row>
    <row r="17" spans="1:211" ht="20" thickBot="1" x14ac:dyDescent="0.3">
      <c r="C17" s="430" t="s">
        <v>13</v>
      </c>
      <c r="D17" s="431"/>
      <c r="E17" s="21" cm="1">
        <f t="array" ref="E17">BlackScholes(IF(E5="Put", -1, 1), S, K, riskfree, q, sigma, T)</f>
        <v>18.371324632004367</v>
      </c>
      <c r="H17" s="62"/>
      <c r="I17" s="65"/>
      <c r="J17" s="467" t="s">
        <v>20</v>
      </c>
      <c r="K17" s="471"/>
      <c r="L17" s="70" cm="1">
        <f t="array" ref="L17">ImpliedVolatility(IF(Option="Put", -1, 1), MktPrice, S,K,riskfree,q,T)</f>
        <v>0.21419999999999273</v>
      </c>
      <c r="M17" s="66"/>
      <c r="N17" s="61"/>
      <c r="O17" s="61"/>
      <c r="P17" s="61"/>
      <c r="Q17" s="61"/>
      <c r="R17" s="61"/>
      <c r="S17" s="61"/>
      <c r="T17" s="61"/>
      <c r="U17" s="60"/>
    </row>
    <row r="18" spans="1:211" x14ac:dyDescent="0.2">
      <c r="E18" s="10"/>
      <c r="H18" s="62"/>
      <c r="I18" s="60"/>
      <c r="J18" s="60"/>
      <c r="K18" s="60"/>
      <c r="L18" s="60"/>
      <c r="M18" s="60"/>
      <c r="N18" s="61"/>
      <c r="O18" s="60"/>
      <c r="P18" s="65"/>
      <c r="Q18" s="61"/>
      <c r="R18" s="61"/>
      <c r="S18" s="61"/>
      <c r="T18" s="66"/>
      <c r="U18" s="60"/>
    </row>
    <row r="19" spans="1:211" s="10" customFormat="1" ht="4" customHeight="1" x14ac:dyDescent="0.2">
      <c r="A19" s="43"/>
      <c r="B19" s="49"/>
      <c r="C19" s="49"/>
      <c r="D19" s="49"/>
      <c r="E19" s="49"/>
      <c r="F19" s="49"/>
      <c r="G19" s="54"/>
      <c r="H19" s="49"/>
      <c r="I19" s="50"/>
      <c r="J19" s="49"/>
      <c r="K19" s="49"/>
      <c r="L19" s="49"/>
      <c r="M19" s="49"/>
      <c r="N19" s="55"/>
      <c r="O19" s="62"/>
      <c r="P19" s="67"/>
      <c r="Q19" s="55"/>
      <c r="R19" s="55"/>
      <c r="S19" s="68"/>
      <c r="T19" s="69"/>
      <c r="U19" s="61"/>
    </row>
    <row r="20" spans="1:211" x14ac:dyDescent="0.2">
      <c r="E20" s="42"/>
      <c r="G20" s="38"/>
      <c r="O20" s="62"/>
      <c r="P20" s="65"/>
      <c r="Q20" s="61"/>
      <c r="R20" s="61"/>
      <c r="S20" s="61"/>
      <c r="T20" s="66"/>
      <c r="U20" s="60"/>
    </row>
    <row r="21" spans="1:211" x14ac:dyDescent="0.2">
      <c r="E21" s="10"/>
      <c r="G21" s="38"/>
      <c r="O21" s="62"/>
      <c r="P21" s="65"/>
      <c r="Q21" s="61"/>
      <c r="R21" s="61"/>
      <c r="S21" s="61"/>
      <c r="T21" s="66"/>
      <c r="U21" s="60"/>
    </row>
    <row r="22" spans="1:211" ht="22" thickBot="1" x14ac:dyDescent="0.3">
      <c r="A22" s="46"/>
      <c r="B22" s="451" t="s">
        <v>22</v>
      </c>
      <c r="C22" s="451"/>
      <c r="D22" s="451"/>
      <c r="E22" s="451"/>
      <c r="F22" s="451"/>
      <c r="G22" s="38"/>
      <c r="I22" s="451" t="s">
        <v>50</v>
      </c>
      <c r="J22" s="451"/>
      <c r="K22" s="451"/>
      <c r="L22" s="451"/>
      <c r="M22" s="451"/>
      <c r="O22" s="62"/>
      <c r="P22" s="433" t="s">
        <v>54</v>
      </c>
      <c r="Q22" s="434"/>
      <c r="R22" s="434"/>
      <c r="S22" s="434"/>
      <c r="T22" s="435"/>
      <c r="U22" s="60"/>
    </row>
    <row r="23" spans="1:211" ht="17" thickBot="1" x14ac:dyDescent="0.25">
      <c r="G23" s="38"/>
      <c r="I23" s="10"/>
      <c r="J23" s="10"/>
      <c r="K23" s="10"/>
      <c r="L23" s="10"/>
      <c r="M23" s="10"/>
      <c r="N23" s="10"/>
      <c r="O23" s="62"/>
      <c r="P23" s="60"/>
      <c r="Q23" s="60"/>
      <c r="R23" s="60"/>
      <c r="S23" s="60"/>
      <c r="T23" s="60"/>
      <c r="U23" s="60"/>
    </row>
    <row r="24" spans="1:211" ht="17" thickBot="1" x14ac:dyDescent="0.25">
      <c r="E24" s="12" t="s">
        <v>17</v>
      </c>
      <c r="G24" s="38"/>
      <c r="L24" s="12" t="s">
        <v>17</v>
      </c>
      <c r="O24" s="62"/>
      <c r="P24" s="60"/>
      <c r="Q24" s="60"/>
      <c r="R24" s="60"/>
      <c r="S24" s="60"/>
      <c r="T24" s="60"/>
      <c r="U24" s="64" t="s">
        <v>40</v>
      </c>
      <c r="V24" s="26" t="s">
        <v>40</v>
      </c>
      <c r="W24" s="26" t="s">
        <v>40</v>
      </c>
      <c r="Y24" s="26" t="s">
        <v>40</v>
      </c>
      <c r="AA24" s="26" t="s">
        <v>40</v>
      </c>
      <c r="AC24" s="26" t="s">
        <v>40</v>
      </c>
      <c r="AE24" s="26" t="s">
        <v>40</v>
      </c>
      <c r="AG24" s="26" t="s">
        <v>40</v>
      </c>
      <c r="AI24" s="26" t="s">
        <v>40</v>
      </c>
      <c r="AK24" s="26" t="s">
        <v>40</v>
      </c>
      <c r="AM24" s="26" t="s">
        <v>40</v>
      </c>
      <c r="AO24" s="26" t="s">
        <v>40</v>
      </c>
      <c r="AQ24" s="26" t="s">
        <v>40</v>
      </c>
      <c r="AS24" s="26" t="s">
        <v>40</v>
      </c>
      <c r="AU24" s="26" t="s">
        <v>40</v>
      </c>
      <c r="AW24" s="26" t="s">
        <v>40</v>
      </c>
      <c r="AY24" s="26" t="s">
        <v>40</v>
      </c>
      <c r="BA24" s="26" t="s">
        <v>40</v>
      </c>
      <c r="BC24" s="26" t="s">
        <v>40</v>
      </c>
      <c r="BE24" s="26" t="s">
        <v>40</v>
      </c>
      <c r="BG24" s="26" t="s">
        <v>40</v>
      </c>
      <c r="BI24" s="26" t="s">
        <v>40</v>
      </c>
      <c r="BK24" s="26" t="s">
        <v>40</v>
      </c>
      <c r="BM24" s="26" t="s">
        <v>40</v>
      </c>
      <c r="BO24" s="26" t="s">
        <v>40</v>
      </c>
      <c r="BQ24" s="26" t="s">
        <v>40</v>
      </c>
      <c r="BS24" s="26" t="s">
        <v>40</v>
      </c>
      <c r="BU24" s="26" t="s">
        <v>40</v>
      </c>
      <c r="BW24" s="26" t="s">
        <v>40</v>
      </c>
      <c r="BY24" s="26" t="s">
        <v>40</v>
      </c>
      <c r="CA24" s="26" t="s">
        <v>40</v>
      </c>
      <c r="CC24" s="26" t="s">
        <v>40</v>
      </c>
      <c r="CE24" s="26" t="s">
        <v>40</v>
      </c>
      <c r="CG24" s="26" t="s">
        <v>40</v>
      </c>
      <c r="CI24" s="26" t="s">
        <v>40</v>
      </c>
      <c r="CK24" s="26" t="s">
        <v>40</v>
      </c>
      <c r="CM24" s="26" t="s">
        <v>40</v>
      </c>
      <c r="CO24" s="26" t="s">
        <v>40</v>
      </c>
      <c r="CQ24" s="26" t="s">
        <v>40</v>
      </c>
      <c r="CS24" s="26" t="s">
        <v>40</v>
      </c>
      <c r="CU24" s="26" t="s">
        <v>40</v>
      </c>
      <c r="CW24" s="26" t="s">
        <v>40</v>
      </c>
      <c r="CY24" s="26" t="s">
        <v>40</v>
      </c>
      <c r="DA24" s="26" t="s">
        <v>40</v>
      </c>
      <c r="DC24" s="26" t="s">
        <v>40</v>
      </c>
      <c r="DE24" s="26" t="s">
        <v>40</v>
      </c>
      <c r="DG24" s="26" t="s">
        <v>40</v>
      </c>
      <c r="DI24" s="26" t="s">
        <v>40</v>
      </c>
      <c r="DK24" s="26" t="s">
        <v>40</v>
      </c>
      <c r="DM24" s="26" t="s">
        <v>40</v>
      </c>
      <c r="DO24" s="26" t="s">
        <v>40</v>
      </c>
      <c r="DQ24" s="26" t="s">
        <v>40</v>
      </c>
      <c r="DS24" s="26" t="s">
        <v>40</v>
      </c>
      <c r="DU24" s="26" t="s">
        <v>40</v>
      </c>
      <c r="DW24" s="26" t="s">
        <v>40</v>
      </c>
      <c r="DY24" s="26" t="s">
        <v>40</v>
      </c>
      <c r="EA24" s="26" t="s">
        <v>40</v>
      </c>
      <c r="EC24" s="26" t="s">
        <v>40</v>
      </c>
      <c r="EE24" s="26" t="s">
        <v>40</v>
      </c>
      <c r="EG24" s="26" t="s">
        <v>40</v>
      </c>
      <c r="EI24" s="26" t="s">
        <v>40</v>
      </c>
      <c r="EK24" s="26" t="s">
        <v>40</v>
      </c>
      <c r="EM24" s="26" t="s">
        <v>40</v>
      </c>
      <c r="EO24" s="26" t="s">
        <v>40</v>
      </c>
      <c r="EQ24" s="26" t="s">
        <v>40</v>
      </c>
      <c r="ES24" s="26" t="s">
        <v>40</v>
      </c>
      <c r="EU24" s="26" t="s">
        <v>40</v>
      </c>
      <c r="EW24" s="26" t="s">
        <v>40</v>
      </c>
      <c r="EY24" s="26" t="s">
        <v>40</v>
      </c>
      <c r="FA24" s="26" t="s">
        <v>40</v>
      </c>
      <c r="FC24" s="26" t="s">
        <v>40</v>
      </c>
      <c r="FE24" s="26" t="s">
        <v>40</v>
      </c>
      <c r="FG24" s="26" t="s">
        <v>40</v>
      </c>
      <c r="FI24" s="26" t="s">
        <v>40</v>
      </c>
      <c r="FK24" s="26" t="s">
        <v>40</v>
      </c>
      <c r="FM24" s="26" t="s">
        <v>40</v>
      </c>
      <c r="FO24" s="26" t="s">
        <v>40</v>
      </c>
      <c r="FQ24" s="26" t="s">
        <v>40</v>
      </c>
      <c r="FS24" s="26" t="s">
        <v>40</v>
      </c>
      <c r="FU24" s="26" t="s">
        <v>40</v>
      </c>
      <c r="FW24" s="26" t="s">
        <v>40</v>
      </c>
      <c r="FY24" s="26" t="s">
        <v>40</v>
      </c>
      <c r="GA24" s="26" t="s">
        <v>40</v>
      </c>
      <c r="GC24" s="26" t="s">
        <v>40</v>
      </c>
      <c r="GE24" s="26" t="s">
        <v>40</v>
      </c>
      <c r="GG24" s="26" t="s">
        <v>40</v>
      </c>
      <c r="GI24" s="26" t="s">
        <v>40</v>
      </c>
      <c r="GK24" s="26" t="s">
        <v>40</v>
      </c>
      <c r="GM24" s="26" t="s">
        <v>40</v>
      </c>
      <c r="GO24" s="26" t="s">
        <v>40</v>
      </c>
      <c r="GQ24" s="26" t="s">
        <v>40</v>
      </c>
      <c r="GS24" s="26" t="s">
        <v>40</v>
      </c>
      <c r="GU24" s="26" t="s">
        <v>40</v>
      </c>
      <c r="GW24" s="26" t="s">
        <v>40</v>
      </c>
      <c r="GY24" s="26" t="s">
        <v>40</v>
      </c>
      <c r="HA24" s="26" t="s">
        <v>40</v>
      </c>
      <c r="HC24" s="26" t="s">
        <v>40</v>
      </c>
    </row>
    <row r="25" spans="1:211" ht="17" thickBot="1" x14ac:dyDescent="0.25">
      <c r="C25" s="452" t="s">
        <v>19</v>
      </c>
      <c r="D25" s="453"/>
      <c r="E25" s="414" t="str">
        <f>Option</f>
        <v>Call</v>
      </c>
      <c r="G25" s="38"/>
      <c r="J25" s="452" t="s">
        <v>19</v>
      </c>
      <c r="K25" s="453"/>
      <c r="L25" s="18" t="str">
        <f>Option</f>
        <v>Call</v>
      </c>
      <c r="O25" s="62"/>
      <c r="P25" s="60"/>
      <c r="Q25" s="436" t="s">
        <v>19</v>
      </c>
      <c r="R25" s="437"/>
      <c r="S25" s="82" t="str">
        <f>Option</f>
        <v>Call</v>
      </c>
      <c r="T25" s="60"/>
      <c r="U25" s="64" t="s">
        <v>40</v>
      </c>
      <c r="W25" s="26" t="s">
        <v>40</v>
      </c>
      <c r="Y25" s="26" t="s">
        <v>40</v>
      </c>
      <c r="AA25" s="26" t="s">
        <v>40</v>
      </c>
      <c r="AC25" s="26" t="s">
        <v>40</v>
      </c>
      <c r="AE25" s="26" t="s">
        <v>40</v>
      </c>
    </row>
    <row r="26" spans="1:211" ht="17" thickBot="1" x14ac:dyDescent="0.25">
      <c r="C26" s="4" t="s">
        <v>7</v>
      </c>
      <c r="D26" s="5" t="s">
        <v>1</v>
      </c>
      <c r="E26" s="415">
        <f>S</f>
        <v>3360.47</v>
      </c>
      <c r="G26" s="38"/>
      <c r="J26" s="4" t="s">
        <v>7</v>
      </c>
      <c r="K26" s="5" t="s">
        <v>1</v>
      </c>
      <c r="L26" s="19">
        <f>S</f>
        <v>3360.47</v>
      </c>
      <c r="O26" s="62"/>
      <c r="P26" s="60"/>
      <c r="Q26" s="88" t="s">
        <v>57</v>
      </c>
      <c r="R26" s="91" t="s">
        <v>58</v>
      </c>
      <c r="S26" s="89">
        <v>100</v>
      </c>
      <c r="T26" s="60"/>
      <c r="U26" s="64" t="s">
        <v>40</v>
      </c>
      <c r="V26" s="26" t="s">
        <v>40</v>
      </c>
      <c r="W26" s="26" t="s">
        <v>40</v>
      </c>
      <c r="Y26" s="26" t="s">
        <v>40</v>
      </c>
      <c r="AA26" s="26" t="s">
        <v>40</v>
      </c>
      <c r="AC26" s="26" t="s">
        <v>40</v>
      </c>
      <c r="AE26" s="26" t="s">
        <v>40</v>
      </c>
      <c r="AG26" s="26" t="s">
        <v>40</v>
      </c>
      <c r="AI26" s="26" t="s">
        <v>40</v>
      </c>
      <c r="AK26" s="26" t="s">
        <v>40</v>
      </c>
      <c r="AM26" s="26" t="s">
        <v>40</v>
      </c>
      <c r="AO26" s="26" t="s">
        <v>40</v>
      </c>
      <c r="AQ26" s="26" t="s">
        <v>40</v>
      </c>
      <c r="AS26" s="26" t="s">
        <v>40</v>
      </c>
      <c r="AU26" s="26" t="s">
        <v>40</v>
      </c>
      <c r="AW26" s="26" t="s">
        <v>40</v>
      </c>
      <c r="AY26" s="26" t="s">
        <v>40</v>
      </c>
      <c r="BA26" s="26" t="s">
        <v>40</v>
      </c>
      <c r="BC26" s="26" t="s">
        <v>40</v>
      </c>
      <c r="BE26" s="26" t="s">
        <v>40</v>
      </c>
      <c r="BG26" s="26" t="s">
        <v>40</v>
      </c>
      <c r="BI26" s="26" t="s">
        <v>40</v>
      </c>
      <c r="BK26" s="26" t="s">
        <v>40</v>
      </c>
      <c r="BM26" s="26" t="s">
        <v>40</v>
      </c>
      <c r="BO26" s="26" t="s">
        <v>40</v>
      </c>
      <c r="BQ26" s="26" t="s">
        <v>40</v>
      </c>
      <c r="BS26" s="26" t="s">
        <v>40</v>
      </c>
      <c r="BU26" s="26" t="s">
        <v>40</v>
      </c>
      <c r="BW26" s="26" t="s">
        <v>40</v>
      </c>
      <c r="BY26" s="26" t="s">
        <v>40</v>
      </c>
      <c r="CA26" s="26" t="s">
        <v>40</v>
      </c>
      <c r="CC26" s="26" t="s">
        <v>40</v>
      </c>
      <c r="CE26" s="26" t="s">
        <v>40</v>
      </c>
      <c r="CG26" s="26" t="s">
        <v>40</v>
      </c>
      <c r="CI26" s="26" t="s">
        <v>40</v>
      </c>
      <c r="CK26" s="26" t="s">
        <v>40</v>
      </c>
      <c r="CM26" s="26" t="s">
        <v>40</v>
      </c>
      <c r="CO26" s="26" t="s">
        <v>40</v>
      </c>
      <c r="CQ26" s="26" t="s">
        <v>40</v>
      </c>
      <c r="CS26" s="26" t="s">
        <v>40</v>
      </c>
      <c r="CU26" s="26" t="s">
        <v>40</v>
      </c>
      <c r="CW26" s="26" t="s">
        <v>40</v>
      </c>
      <c r="CY26" s="26" t="s">
        <v>40</v>
      </c>
      <c r="DA26" s="26" t="s">
        <v>40</v>
      </c>
      <c r="DC26" s="26" t="s">
        <v>40</v>
      </c>
      <c r="DE26" s="26" t="s">
        <v>40</v>
      </c>
      <c r="DG26" s="26" t="s">
        <v>40</v>
      </c>
      <c r="DI26" s="26" t="s">
        <v>40</v>
      </c>
      <c r="DK26" s="26" t="s">
        <v>40</v>
      </c>
      <c r="DM26" s="26" t="s">
        <v>40</v>
      </c>
      <c r="DO26" s="26" t="s">
        <v>40</v>
      </c>
      <c r="DQ26" s="26" t="s">
        <v>40</v>
      </c>
      <c r="DS26" s="26" t="s">
        <v>40</v>
      </c>
      <c r="DU26" s="26" t="s">
        <v>40</v>
      </c>
      <c r="DW26" s="26" t="s">
        <v>40</v>
      </c>
      <c r="DY26" s="26" t="s">
        <v>40</v>
      </c>
      <c r="EA26" s="26" t="s">
        <v>40</v>
      </c>
      <c r="EC26" s="26" t="s">
        <v>40</v>
      </c>
      <c r="EE26" s="26" t="s">
        <v>40</v>
      </c>
      <c r="EG26" s="26" t="s">
        <v>40</v>
      </c>
      <c r="EI26" s="26" t="s">
        <v>40</v>
      </c>
      <c r="EK26" s="26" t="s">
        <v>40</v>
      </c>
      <c r="EM26" s="26" t="s">
        <v>40</v>
      </c>
      <c r="EO26" s="26" t="s">
        <v>40</v>
      </c>
      <c r="EQ26" s="26" t="s">
        <v>40</v>
      </c>
      <c r="ES26" s="26" t="s">
        <v>40</v>
      </c>
      <c r="EU26" s="26" t="s">
        <v>40</v>
      </c>
      <c r="EW26" s="26" t="s">
        <v>40</v>
      </c>
      <c r="EY26" s="26" t="s">
        <v>40</v>
      </c>
      <c r="FA26" s="26" t="s">
        <v>40</v>
      </c>
      <c r="FC26" s="26" t="s">
        <v>40</v>
      </c>
      <c r="FE26" s="26" t="s">
        <v>40</v>
      </c>
      <c r="FG26" s="26" t="s">
        <v>40</v>
      </c>
      <c r="FI26" s="26" t="s">
        <v>40</v>
      </c>
      <c r="FK26" s="26" t="s">
        <v>40</v>
      </c>
      <c r="FM26" s="26" t="s">
        <v>40</v>
      </c>
      <c r="FO26" s="26" t="s">
        <v>40</v>
      </c>
      <c r="FQ26" s="26" t="s">
        <v>40</v>
      </c>
      <c r="FS26" s="26" t="s">
        <v>40</v>
      </c>
      <c r="FU26" s="26" t="s">
        <v>40</v>
      </c>
      <c r="FW26" s="26" t="s">
        <v>40</v>
      </c>
      <c r="FY26" s="26" t="s">
        <v>40</v>
      </c>
      <c r="GA26" s="26" t="s">
        <v>40</v>
      </c>
      <c r="GC26" s="26" t="s">
        <v>40</v>
      </c>
      <c r="GE26" s="26" t="s">
        <v>40</v>
      </c>
      <c r="GG26" s="26" t="s">
        <v>40</v>
      </c>
      <c r="GI26" s="26" t="s">
        <v>40</v>
      </c>
      <c r="GK26" s="26" t="s">
        <v>40</v>
      </c>
      <c r="GM26" s="26" t="s">
        <v>40</v>
      </c>
      <c r="GO26" s="26" t="s">
        <v>40</v>
      </c>
      <c r="GQ26" s="26" t="s">
        <v>40</v>
      </c>
      <c r="GS26" s="26" t="s">
        <v>40</v>
      </c>
      <c r="GU26" s="26" t="s">
        <v>40</v>
      </c>
      <c r="GW26" s="26" t="s">
        <v>40</v>
      </c>
      <c r="GY26" s="26" t="s">
        <v>40</v>
      </c>
      <c r="HA26" s="26" t="s">
        <v>40</v>
      </c>
      <c r="HC26" s="26" t="s">
        <v>40</v>
      </c>
    </row>
    <row r="27" spans="1:211" ht="17" thickBot="1" x14ac:dyDescent="0.25">
      <c r="C27" s="6" t="s">
        <v>6</v>
      </c>
      <c r="D27" s="7" t="s">
        <v>2</v>
      </c>
      <c r="E27" s="416">
        <f>K</f>
        <v>3360</v>
      </c>
      <c r="G27" s="38"/>
      <c r="J27" s="6" t="s">
        <v>6</v>
      </c>
      <c r="K27" s="7" t="s">
        <v>2</v>
      </c>
      <c r="L27" s="20">
        <f>K</f>
        <v>3360</v>
      </c>
      <c r="O27" s="62"/>
      <c r="P27" s="60"/>
      <c r="Q27" s="438" t="s">
        <v>55</v>
      </c>
      <c r="R27" s="439"/>
      <c r="S27" s="90" t="s">
        <v>56</v>
      </c>
      <c r="T27" s="60"/>
      <c r="U27" s="64" t="s">
        <v>40</v>
      </c>
      <c r="V27" s="10" t="s">
        <v>40</v>
      </c>
      <c r="W27" s="26" t="s">
        <v>40</v>
      </c>
      <c r="Y27" s="26" t="s">
        <v>40</v>
      </c>
      <c r="AA27" s="26" t="s">
        <v>40</v>
      </c>
      <c r="AC27" s="26" t="s">
        <v>40</v>
      </c>
      <c r="AE27" s="26" t="s">
        <v>40</v>
      </c>
      <c r="AG27" s="10" t="s">
        <v>40</v>
      </c>
      <c r="AI27" s="10" t="s">
        <v>40</v>
      </c>
      <c r="AK27" s="10" t="s">
        <v>40</v>
      </c>
      <c r="AM27" s="10" t="s">
        <v>40</v>
      </c>
      <c r="AO27" s="10" t="s">
        <v>40</v>
      </c>
      <c r="AQ27" s="10" t="s">
        <v>40</v>
      </c>
      <c r="AS27" s="10" t="s">
        <v>40</v>
      </c>
      <c r="AU27" s="10" t="s">
        <v>40</v>
      </c>
      <c r="AW27" s="10" t="s">
        <v>40</v>
      </c>
      <c r="AY27" s="10" t="s">
        <v>40</v>
      </c>
      <c r="BA27" s="10" t="s">
        <v>40</v>
      </c>
      <c r="BC27" s="10" t="s">
        <v>40</v>
      </c>
      <c r="BE27" s="10" t="s">
        <v>40</v>
      </c>
      <c r="BG27" s="10" t="s">
        <v>40</v>
      </c>
      <c r="BI27" s="10" t="s">
        <v>40</v>
      </c>
      <c r="BK27" s="10" t="s">
        <v>40</v>
      </c>
      <c r="BM27" s="10" t="s">
        <v>40</v>
      </c>
      <c r="BO27" s="10" t="s">
        <v>40</v>
      </c>
      <c r="BQ27" s="10" t="s">
        <v>40</v>
      </c>
      <c r="BS27" s="10" t="s">
        <v>40</v>
      </c>
      <c r="BU27" s="10" t="s">
        <v>40</v>
      </c>
      <c r="BW27" s="10" t="s">
        <v>40</v>
      </c>
      <c r="BY27" s="10" t="s">
        <v>40</v>
      </c>
      <c r="CA27" s="10" t="s">
        <v>40</v>
      </c>
      <c r="CC27" s="10" t="s">
        <v>40</v>
      </c>
      <c r="CE27" s="10" t="s">
        <v>40</v>
      </c>
      <c r="CG27" s="10" t="s">
        <v>40</v>
      </c>
      <c r="CI27" s="10" t="s">
        <v>40</v>
      </c>
      <c r="CK27" s="10" t="s">
        <v>40</v>
      </c>
      <c r="CM27" s="10" t="s">
        <v>40</v>
      </c>
      <c r="CO27" s="10" t="s">
        <v>40</v>
      </c>
      <c r="CQ27" s="10" t="s">
        <v>40</v>
      </c>
      <c r="CS27" s="10" t="s">
        <v>40</v>
      </c>
      <c r="CU27" s="10" t="s">
        <v>40</v>
      </c>
      <c r="CW27" s="10" t="s">
        <v>40</v>
      </c>
      <c r="CY27" s="10" t="s">
        <v>40</v>
      </c>
      <c r="DA27" s="10" t="s">
        <v>40</v>
      </c>
      <c r="DC27" s="10" t="s">
        <v>40</v>
      </c>
      <c r="DE27" s="10" t="s">
        <v>40</v>
      </c>
      <c r="DG27" s="10" t="s">
        <v>40</v>
      </c>
      <c r="DI27" s="10" t="s">
        <v>40</v>
      </c>
      <c r="DK27" s="10" t="s">
        <v>40</v>
      </c>
      <c r="DM27" s="10" t="s">
        <v>40</v>
      </c>
      <c r="DO27" s="10" t="s">
        <v>40</v>
      </c>
      <c r="DQ27" s="10" t="s">
        <v>40</v>
      </c>
      <c r="DS27" s="10" t="s">
        <v>40</v>
      </c>
      <c r="DU27" s="10" t="s">
        <v>40</v>
      </c>
      <c r="DW27" s="10" t="s">
        <v>40</v>
      </c>
      <c r="DY27" s="10" t="s">
        <v>40</v>
      </c>
      <c r="EA27" s="10" t="s">
        <v>40</v>
      </c>
      <c r="EC27" s="10" t="s">
        <v>40</v>
      </c>
      <c r="EE27" s="10" t="s">
        <v>40</v>
      </c>
      <c r="EG27" s="10" t="s">
        <v>40</v>
      </c>
      <c r="EI27" s="10" t="s">
        <v>40</v>
      </c>
      <c r="EK27" s="10" t="s">
        <v>40</v>
      </c>
      <c r="EM27" s="10" t="s">
        <v>40</v>
      </c>
      <c r="EO27" s="10" t="s">
        <v>40</v>
      </c>
      <c r="EQ27" s="10" t="s">
        <v>40</v>
      </c>
      <c r="ES27" s="10" t="s">
        <v>40</v>
      </c>
      <c r="EU27" s="10" t="s">
        <v>40</v>
      </c>
      <c r="EW27" s="10" t="s">
        <v>40</v>
      </c>
      <c r="EY27" s="10" t="s">
        <v>40</v>
      </c>
      <c r="FA27" s="10" t="s">
        <v>40</v>
      </c>
      <c r="FC27" s="10" t="s">
        <v>40</v>
      </c>
      <c r="FE27" s="10" t="s">
        <v>40</v>
      </c>
      <c r="FG27" s="10" t="s">
        <v>40</v>
      </c>
      <c r="FI27" s="10" t="s">
        <v>40</v>
      </c>
      <c r="FK27" s="10" t="s">
        <v>40</v>
      </c>
      <c r="FM27" s="10" t="s">
        <v>40</v>
      </c>
      <c r="FO27" s="10" t="s">
        <v>40</v>
      </c>
      <c r="FQ27" s="10" t="s">
        <v>40</v>
      </c>
      <c r="FS27" s="10" t="s">
        <v>40</v>
      </c>
      <c r="FU27" s="10" t="s">
        <v>40</v>
      </c>
      <c r="FW27" s="10" t="s">
        <v>40</v>
      </c>
      <c r="FY27" s="10" t="s">
        <v>40</v>
      </c>
      <c r="GA27" s="10" t="s">
        <v>40</v>
      </c>
      <c r="GC27" s="10" t="s">
        <v>40</v>
      </c>
      <c r="GE27" s="10" t="s">
        <v>40</v>
      </c>
      <c r="GG27" s="10" t="s">
        <v>40</v>
      </c>
      <c r="GI27" s="10" t="s">
        <v>40</v>
      </c>
      <c r="GK27" s="10" t="s">
        <v>40</v>
      </c>
      <c r="GM27" s="10" t="s">
        <v>40</v>
      </c>
      <c r="GO27" s="10" t="s">
        <v>40</v>
      </c>
      <c r="GQ27" s="10" t="s">
        <v>40</v>
      </c>
      <c r="GS27" s="10" t="s">
        <v>40</v>
      </c>
      <c r="GU27" s="10" t="s">
        <v>40</v>
      </c>
      <c r="GW27" s="10" t="s">
        <v>40</v>
      </c>
      <c r="GY27" s="10" t="s">
        <v>40</v>
      </c>
      <c r="HA27" s="10" t="s">
        <v>40</v>
      </c>
      <c r="HC27" s="10" t="s">
        <v>40</v>
      </c>
    </row>
    <row r="28" spans="1:211" ht="17" thickBot="1" x14ac:dyDescent="0.25">
      <c r="C28" s="6" t="s">
        <v>8</v>
      </c>
      <c r="D28" s="7" t="s">
        <v>3</v>
      </c>
      <c r="E28" s="416">
        <f>riskfree</f>
        <v>2E-3</v>
      </c>
      <c r="G28" s="38"/>
      <c r="J28" s="6" t="s">
        <v>8</v>
      </c>
      <c r="K28" s="7" t="s">
        <v>3</v>
      </c>
      <c r="L28" s="20">
        <f>riskfree</f>
        <v>2E-3</v>
      </c>
      <c r="O28" s="62"/>
      <c r="P28" s="60"/>
      <c r="Q28" s="65"/>
      <c r="R28" s="66"/>
      <c r="S28" s="86"/>
      <c r="T28" s="60"/>
      <c r="U28" s="60" t="s">
        <v>40</v>
      </c>
      <c r="W28" s="10" t="s">
        <v>40</v>
      </c>
      <c r="Y28" s="10" t="s">
        <v>40</v>
      </c>
      <c r="AA28" s="10" t="s">
        <v>40</v>
      </c>
      <c r="AC28" s="10" t="s">
        <v>40</v>
      </c>
      <c r="AE28" s="10" t="s">
        <v>40</v>
      </c>
    </row>
    <row r="29" spans="1:211" x14ac:dyDescent="0.2">
      <c r="C29" s="6" t="s">
        <v>79</v>
      </c>
      <c r="D29" s="7" t="s">
        <v>4</v>
      </c>
      <c r="E29" s="416">
        <f>q</f>
        <v>0</v>
      </c>
      <c r="G29" s="38"/>
      <c r="J29" s="6" t="s">
        <v>79</v>
      </c>
      <c r="K29" s="7" t="s">
        <v>4</v>
      </c>
      <c r="L29" s="20">
        <f>q</f>
        <v>0</v>
      </c>
      <c r="O29" s="62"/>
      <c r="P29" s="60"/>
      <c r="Q29" s="440" t="str">
        <f>"Number of " &amp; IF(R26 = "options", "shares", "options") &amp; " to delta hedge"</f>
        <v>Number of shares to delta hedge</v>
      </c>
      <c r="R29" s="441"/>
      <c r="S29" s="444">
        <f>-S26*IF(R26="options", S6, 1/S6) * IF(S27 = "Long", 1, -1)</f>
        <v>-53.189123926494538</v>
      </c>
      <c r="T29" s="60"/>
      <c r="U29" s="64" t="s">
        <v>40</v>
      </c>
      <c r="V29" s="26" t="s">
        <v>40</v>
      </c>
      <c r="W29" s="26" t="s">
        <v>40</v>
      </c>
      <c r="Y29" s="26" t="s">
        <v>40</v>
      </c>
      <c r="AA29" s="26" t="s">
        <v>40</v>
      </c>
      <c r="AC29" s="26" t="s">
        <v>40</v>
      </c>
      <c r="AE29" s="26" t="s">
        <v>40</v>
      </c>
      <c r="AG29" s="26" t="s">
        <v>40</v>
      </c>
      <c r="AI29" s="26" t="s">
        <v>40</v>
      </c>
      <c r="AK29" s="26" t="s">
        <v>40</v>
      </c>
      <c r="AM29" s="26" t="s">
        <v>40</v>
      </c>
      <c r="AO29" s="26" t="s">
        <v>40</v>
      </c>
      <c r="AQ29" s="26" t="s">
        <v>40</v>
      </c>
      <c r="AS29" s="26" t="s">
        <v>40</v>
      </c>
      <c r="AU29" s="26" t="s">
        <v>40</v>
      </c>
      <c r="AW29" s="26" t="s">
        <v>40</v>
      </c>
      <c r="AY29" s="26" t="s">
        <v>40</v>
      </c>
      <c r="BA29" s="26" t="s">
        <v>40</v>
      </c>
      <c r="BC29" s="26" t="s">
        <v>40</v>
      </c>
      <c r="BE29" s="26" t="s">
        <v>40</v>
      </c>
      <c r="BG29" s="26" t="s">
        <v>40</v>
      </c>
      <c r="BI29" s="26" t="s">
        <v>40</v>
      </c>
      <c r="BK29" s="26" t="s">
        <v>40</v>
      </c>
      <c r="BM29" s="26" t="s">
        <v>40</v>
      </c>
      <c r="BO29" s="26" t="s">
        <v>40</v>
      </c>
      <c r="BQ29" s="26" t="s">
        <v>40</v>
      </c>
      <c r="BS29" s="26" t="s">
        <v>40</v>
      </c>
      <c r="BU29" s="26" t="s">
        <v>40</v>
      </c>
      <c r="BW29" s="26" t="s">
        <v>40</v>
      </c>
      <c r="BY29" s="26" t="s">
        <v>40</v>
      </c>
      <c r="CA29" s="26" t="s">
        <v>40</v>
      </c>
      <c r="CC29" s="26" t="s">
        <v>40</v>
      </c>
      <c r="CE29" s="26" t="s">
        <v>40</v>
      </c>
      <c r="CG29" s="26" t="s">
        <v>40</v>
      </c>
      <c r="CI29" s="26" t="s">
        <v>40</v>
      </c>
      <c r="CK29" s="26" t="s">
        <v>40</v>
      </c>
      <c r="CM29" s="26" t="s">
        <v>40</v>
      </c>
      <c r="CO29" s="26" t="s">
        <v>40</v>
      </c>
      <c r="CQ29" s="26" t="s">
        <v>40</v>
      </c>
      <c r="CS29" s="26" t="s">
        <v>40</v>
      </c>
      <c r="CU29" s="26" t="s">
        <v>40</v>
      </c>
      <c r="CW29" s="26" t="s">
        <v>40</v>
      </c>
      <c r="CY29" s="26" t="s">
        <v>40</v>
      </c>
      <c r="DA29" s="26" t="s">
        <v>40</v>
      </c>
      <c r="DC29" s="26" t="s">
        <v>40</v>
      </c>
      <c r="DE29" s="26" t="s">
        <v>40</v>
      </c>
      <c r="DG29" s="26" t="s">
        <v>40</v>
      </c>
      <c r="DI29" s="26" t="s">
        <v>40</v>
      </c>
      <c r="DK29" s="26" t="s">
        <v>40</v>
      </c>
      <c r="DM29" s="26" t="s">
        <v>40</v>
      </c>
      <c r="DO29" s="26" t="s">
        <v>40</v>
      </c>
      <c r="DQ29" s="26" t="s">
        <v>40</v>
      </c>
      <c r="DS29" s="26" t="s">
        <v>40</v>
      </c>
      <c r="DU29" s="26" t="s">
        <v>40</v>
      </c>
      <c r="DW29" s="26" t="s">
        <v>40</v>
      </c>
      <c r="DY29" s="26" t="s">
        <v>40</v>
      </c>
      <c r="EA29" s="26" t="s">
        <v>40</v>
      </c>
      <c r="EC29" s="26" t="s">
        <v>40</v>
      </c>
      <c r="EE29" s="26" t="s">
        <v>40</v>
      </c>
      <c r="EG29" s="26" t="s">
        <v>40</v>
      </c>
      <c r="EI29" s="26" t="s">
        <v>40</v>
      </c>
      <c r="EK29" s="26" t="s">
        <v>40</v>
      </c>
      <c r="EM29" s="26" t="s">
        <v>40</v>
      </c>
      <c r="EO29" s="26" t="s">
        <v>40</v>
      </c>
      <c r="EQ29" s="26" t="s">
        <v>40</v>
      </c>
      <c r="ES29" s="26" t="s">
        <v>40</v>
      </c>
      <c r="EU29" s="26" t="s">
        <v>40</v>
      </c>
      <c r="EW29" s="26" t="s">
        <v>40</v>
      </c>
      <c r="EY29" s="26" t="s">
        <v>40</v>
      </c>
      <c r="FA29" s="26" t="s">
        <v>40</v>
      </c>
      <c r="FC29" s="26" t="s">
        <v>40</v>
      </c>
      <c r="FE29" s="26" t="s">
        <v>40</v>
      </c>
      <c r="FG29" s="26" t="s">
        <v>40</v>
      </c>
      <c r="FI29" s="26" t="s">
        <v>40</v>
      </c>
      <c r="FK29" s="26" t="s">
        <v>40</v>
      </c>
      <c r="FM29" s="26" t="s">
        <v>40</v>
      </c>
      <c r="FO29" s="26" t="s">
        <v>40</v>
      </c>
      <c r="FQ29" s="26" t="s">
        <v>40</v>
      </c>
      <c r="FS29" s="26" t="s">
        <v>40</v>
      </c>
      <c r="FU29" s="26" t="s">
        <v>40</v>
      </c>
      <c r="FW29" s="26" t="s">
        <v>40</v>
      </c>
      <c r="FY29" s="26" t="s">
        <v>40</v>
      </c>
      <c r="GA29" s="26" t="s">
        <v>40</v>
      </c>
      <c r="GC29" s="26" t="s">
        <v>40</v>
      </c>
      <c r="GE29" s="26" t="s">
        <v>40</v>
      </c>
      <c r="GG29" s="26" t="s">
        <v>40</v>
      </c>
      <c r="GI29" s="26" t="s">
        <v>40</v>
      </c>
      <c r="GK29" s="26" t="s">
        <v>40</v>
      </c>
      <c r="GM29" s="26" t="s">
        <v>40</v>
      </c>
      <c r="GO29" s="26" t="s">
        <v>40</v>
      </c>
      <c r="GQ29" s="26" t="s">
        <v>40</v>
      </c>
      <c r="GS29" s="26" t="s">
        <v>40</v>
      </c>
      <c r="GU29" s="26" t="s">
        <v>40</v>
      </c>
      <c r="GW29" s="26" t="s">
        <v>40</v>
      </c>
      <c r="GY29" s="26" t="s">
        <v>40</v>
      </c>
      <c r="HA29" s="26" t="s">
        <v>40</v>
      </c>
      <c r="HC29" s="26" t="s">
        <v>40</v>
      </c>
    </row>
    <row r="30" spans="1:211" ht="17" thickBot="1" x14ac:dyDescent="0.25">
      <c r="C30" s="6" t="s">
        <v>10</v>
      </c>
      <c r="D30" s="7" t="s">
        <v>5</v>
      </c>
      <c r="E30" s="416">
        <f>sigma</f>
        <v>0.02</v>
      </c>
      <c r="G30" s="38"/>
      <c r="J30" s="6" t="s">
        <v>10</v>
      </c>
      <c r="K30" s="7" t="s">
        <v>5</v>
      </c>
      <c r="L30" s="20">
        <f>sigma</f>
        <v>0.02</v>
      </c>
      <c r="O30" s="62"/>
      <c r="P30" s="60"/>
      <c r="Q30" s="442"/>
      <c r="R30" s="443"/>
      <c r="S30" s="445"/>
      <c r="T30" s="60"/>
      <c r="U30" s="64" t="s">
        <v>40</v>
      </c>
      <c r="V30" s="10" t="s">
        <v>40</v>
      </c>
      <c r="W30" s="26" t="s">
        <v>40</v>
      </c>
      <c r="Y30" s="26" t="s">
        <v>40</v>
      </c>
      <c r="AA30" s="26" t="s">
        <v>40</v>
      </c>
      <c r="AC30" s="26" t="s">
        <v>40</v>
      </c>
      <c r="AE30" s="26" t="s">
        <v>40</v>
      </c>
      <c r="AG30" s="10" t="s">
        <v>40</v>
      </c>
      <c r="AI30" s="10" t="s">
        <v>40</v>
      </c>
      <c r="AK30" s="10" t="s">
        <v>40</v>
      </c>
      <c r="AM30" s="10" t="s">
        <v>40</v>
      </c>
      <c r="AO30" s="10" t="s">
        <v>40</v>
      </c>
      <c r="AQ30" s="10" t="s">
        <v>40</v>
      </c>
      <c r="AS30" s="10" t="s">
        <v>40</v>
      </c>
      <c r="AU30" s="10" t="s">
        <v>40</v>
      </c>
      <c r="AW30" s="10" t="s">
        <v>40</v>
      </c>
      <c r="AY30" s="10" t="s">
        <v>40</v>
      </c>
      <c r="BA30" s="10" t="s">
        <v>40</v>
      </c>
      <c r="BC30" s="10" t="s">
        <v>40</v>
      </c>
      <c r="BE30" s="10" t="s">
        <v>40</v>
      </c>
      <c r="BG30" s="10" t="s">
        <v>40</v>
      </c>
      <c r="BI30" s="10" t="s">
        <v>40</v>
      </c>
      <c r="BK30" s="10" t="s">
        <v>40</v>
      </c>
      <c r="BM30" s="10" t="s">
        <v>40</v>
      </c>
      <c r="BO30" s="10" t="s">
        <v>40</v>
      </c>
      <c r="BQ30" s="10" t="s">
        <v>40</v>
      </c>
      <c r="BS30" s="10" t="s">
        <v>40</v>
      </c>
      <c r="BU30" s="10" t="s">
        <v>40</v>
      </c>
      <c r="BW30" s="10" t="s">
        <v>40</v>
      </c>
      <c r="BY30" s="10" t="s">
        <v>40</v>
      </c>
      <c r="CA30" s="10" t="s">
        <v>40</v>
      </c>
      <c r="CC30" s="10" t="s">
        <v>40</v>
      </c>
      <c r="CE30" s="10" t="s">
        <v>40</v>
      </c>
      <c r="CG30" s="10" t="s">
        <v>40</v>
      </c>
      <c r="CI30" s="10" t="s">
        <v>40</v>
      </c>
      <c r="CK30" s="10" t="s">
        <v>40</v>
      </c>
      <c r="CM30" s="10" t="s">
        <v>40</v>
      </c>
      <c r="CO30" s="10" t="s">
        <v>40</v>
      </c>
      <c r="CQ30" s="10" t="s">
        <v>40</v>
      </c>
      <c r="CS30" s="10" t="s">
        <v>40</v>
      </c>
      <c r="CU30" s="10" t="s">
        <v>40</v>
      </c>
      <c r="CW30" s="10" t="s">
        <v>40</v>
      </c>
      <c r="CY30" s="10" t="s">
        <v>40</v>
      </c>
      <c r="DA30" s="10" t="s">
        <v>40</v>
      </c>
      <c r="DC30" s="10" t="s">
        <v>40</v>
      </c>
      <c r="DE30" s="10" t="s">
        <v>40</v>
      </c>
      <c r="DG30" s="10" t="s">
        <v>40</v>
      </c>
      <c r="DI30" s="10" t="s">
        <v>40</v>
      </c>
      <c r="DK30" s="10" t="s">
        <v>40</v>
      </c>
      <c r="DM30" s="10" t="s">
        <v>40</v>
      </c>
      <c r="DO30" s="10" t="s">
        <v>40</v>
      </c>
      <c r="DQ30" s="10" t="s">
        <v>40</v>
      </c>
      <c r="DS30" s="10" t="s">
        <v>40</v>
      </c>
      <c r="DU30" s="10" t="s">
        <v>40</v>
      </c>
      <c r="DW30" s="10" t="s">
        <v>40</v>
      </c>
      <c r="DY30" s="10" t="s">
        <v>40</v>
      </c>
      <c r="EA30" s="10" t="s">
        <v>40</v>
      </c>
      <c r="EC30" s="10" t="s">
        <v>40</v>
      </c>
      <c r="EE30" s="10" t="s">
        <v>40</v>
      </c>
      <c r="EG30" s="10" t="s">
        <v>40</v>
      </c>
      <c r="EI30" s="10" t="s">
        <v>40</v>
      </c>
      <c r="EK30" s="10" t="s">
        <v>40</v>
      </c>
      <c r="EM30" s="10" t="s">
        <v>40</v>
      </c>
      <c r="EO30" s="10" t="s">
        <v>40</v>
      </c>
      <c r="EQ30" s="10" t="s">
        <v>40</v>
      </c>
      <c r="ES30" s="10" t="s">
        <v>40</v>
      </c>
      <c r="EU30" s="10" t="s">
        <v>40</v>
      </c>
      <c r="EW30" s="10" t="s">
        <v>40</v>
      </c>
      <c r="EY30" s="10" t="s">
        <v>40</v>
      </c>
      <c r="FA30" s="10" t="s">
        <v>40</v>
      </c>
      <c r="FC30" s="10" t="s">
        <v>40</v>
      </c>
      <c r="FE30" s="10" t="s">
        <v>40</v>
      </c>
      <c r="FG30" s="10" t="s">
        <v>40</v>
      </c>
      <c r="FI30" s="10" t="s">
        <v>40</v>
      </c>
      <c r="FK30" s="10" t="s">
        <v>40</v>
      </c>
      <c r="FM30" s="10" t="s">
        <v>40</v>
      </c>
      <c r="FO30" s="10" t="s">
        <v>40</v>
      </c>
      <c r="FQ30" s="10" t="s">
        <v>40</v>
      </c>
      <c r="FS30" s="10" t="s">
        <v>40</v>
      </c>
      <c r="FU30" s="10" t="s">
        <v>40</v>
      </c>
      <c r="FW30" s="10" t="s">
        <v>40</v>
      </c>
      <c r="FY30" s="10" t="s">
        <v>40</v>
      </c>
      <c r="GA30" s="10" t="s">
        <v>40</v>
      </c>
      <c r="GC30" s="10" t="s">
        <v>40</v>
      </c>
      <c r="GE30" s="10" t="s">
        <v>40</v>
      </c>
      <c r="GG30" s="10" t="s">
        <v>40</v>
      </c>
      <c r="GI30" s="10" t="s">
        <v>40</v>
      </c>
      <c r="GK30" s="10" t="s">
        <v>40</v>
      </c>
      <c r="GM30" s="10" t="s">
        <v>40</v>
      </c>
      <c r="GO30" s="10" t="s">
        <v>40</v>
      </c>
      <c r="GQ30" s="10" t="s">
        <v>40</v>
      </c>
      <c r="GS30" s="10" t="s">
        <v>40</v>
      </c>
      <c r="GU30" s="10" t="s">
        <v>40</v>
      </c>
      <c r="GW30" s="10" t="s">
        <v>40</v>
      </c>
      <c r="GY30" s="10" t="s">
        <v>40</v>
      </c>
      <c r="HA30" s="10" t="s">
        <v>40</v>
      </c>
      <c r="HC30" s="10" t="s">
        <v>40</v>
      </c>
    </row>
    <row r="31" spans="1:211" ht="17" thickBot="1" x14ac:dyDescent="0.25">
      <c r="C31" s="8" t="s">
        <v>11</v>
      </c>
      <c r="D31" s="9" t="s">
        <v>12</v>
      </c>
      <c r="E31" s="417">
        <f>T</f>
        <v>0.39178082191780822</v>
      </c>
      <c r="G31" s="38"/>
      <c r="J31" s="6" t="s">
        <v>11</v>
      </c>
      <c r="K31" s="7" t="s">
        <v>12</v>
      </c>
      <c r="L31" s="23">
        <f>T</f>
        <v>0.39178082191780822</v>
      </c>
      <c r="O31" s="62"/>
      <c r="P31" s="60"/>
      <c r="Q31" s="84"/>
      <c r="R31" s="85"/>
      <c r="S31" s="87"/>
      <c r="T31" s="60"/>
      <c r="U31" s="60" t="s">
        <v>40</v>
      </c>
      <c r="W31" s="10" t="s">
        <v>40</v>
      </c>
      <c r="Y31" s="10" t="s">
        <v>40</v>
      </c>
      <c r="AA31" s="10" t="s">
        <v>40</v>
      </c>
      <c r="AC31" s="10" t="s">
        <v>40</v>
      </c>
      <c r="AE31" s="10" t="s">
        <v>40</v>
      </c>
    </row>
    <row r="32" spans="1:211" ht="17" thickBot="1" x14ac:dyDescent="0.25">
      <c r="C32" s="454" t="s">
        <v>25</v>
      </c>
      <c r="D32" s="455"/>
      <c r="E32" s="29" t="s">
        <v>43</v>
      </c>
      <c r="G32" s="38"/>
      <c r="I32" s="10"/>
      <c r="J32" s="47" t="s">
        <v>51</v>
      </c>
      <c r="K32" s="3" t="s">
        <v>52</v>
      </c>
      <c r="L32" s="48">
        <v>10000</v>
      </c>
      <c r="M32" s="10"/>
      <c r="N32" s="10"/>
      <c r="O32" s="62"/>
      <c r="P32" s="60"/>
      <c r="Q32" s="446" t="s">
        <v>59</v>
      </c>
      <c r="R32" s="447"/>
      <c r="S32" s="448"/>
      <c r="T32" s="60"/>
      <c r="U32" s="64" t="s">
        <v>40</v>
      </c>
      <c r="V32" s="26" t="s">
        <v>40</v>
      </c>
      <c r="W32" s="26" t="s">
        <v>40</v>
      </c>
      <c r="Y32" s="26" t="s">
        <v>40</v>
      </c>
      <c r="AA32" s="26" t="s">
        <v>40</v>
      </c>
      <c r="AC32" s="26" t="s">
        <v>40</v>
      </c>
      <c r="AE32" s="26" t="s">
        <v>40</v>
      </c>
      <c r="AG32" s="26" t="s">
        <v>40</v>
      </c>
      <c r="AI32" s="26" t="s">
        <v>40</v>
      </c>
      <c r="AK32" s="26" t="s">
        <v>40</v>
      </c>
      <c r="AM32" s="26" t="s">
        <v>40</v>
      </c>
      <c r="AO32" s="26" t="s">
        <v>40</v>
      </c>
      <c r="AQ32" s="26" t="s">
        <v>40</v>
      </c>
      <c r="AS32" s="26" t="s">
        <v>40</v>
      </c>
      <c r="AU32" s="26" t="s">
        <v>40</v>
      </c>
      <c r="AW32" s="26" t="s">
        <v>40</v>
      </c>
      <c r="AY32" s="26" t="s">
        <v>40</v>
      </c>
      <c r="BA32" s="26" t="s">
        <v>40</v>
      </c>
      <c r="BC32" s="26" t="s">
        <v>40</v>
      </c>
      <c r="BE32" s="26" t="s">
        <v>40</v>
      </c>
      <c r="BG32" s="26" t="s">
        <v>40</v>
      </c>
      <c r="BI32" s="26" t="s">
        <v>40</v>
      </c>
      <c r="BK32" s="26" t="s">
        <v>40</v>
      </c>
      <c r="BM32" s="26" t="s">
        <v>40</v>
      </c>
      <c r="BO32" s="26" t="s">
        <v>40</v>
      </c>
      <c r="BQ32" s="26" t="s">
        <v>40</v>
      </c>
      <c r="BS32" s="26" t="s">
        <v>40</v>
      </c>
      <c r="BU32" s="26" t="s">
        <v>40</v>
      </c>
      <c r="BW32" s="26" t="s">
        <v>40</v>
      </c>
      <c r="BY32" s="26" t="s">
        <v>40</v>
      </c>
      <c r="CA32" s="26" t="s">
        <v>40</v>
      </c>
      <c r="CC32" s="26" t="s">
        <v>40</v>
      </c>
      <c r="CE32" s="26" t="s">
        <v>40</v>
      </c>
      <c r="CG32" s="26" t="s">
        <v>40</v>
      </c>
      <c r="CI32" s="26" t="s">
        <v>40</v>
      </c>
      <c r="CK32" s="26" t="s">
        <v>40</v>
      </c>
      <c r="CM32" s="26" t="s">
        <v>40</v>
      </c>
      <c r="CO32" s="26" t="s">
        <v>40</v>
      </c>
      <c r="CQ32" s="26" t="s">
        <v>40</v>
      </c>
      <c r="CS32" s="26" t="s">
        <v>40</v>
      </c>
      <c r="CU32" s="26" t="s">
        <v>40</v>
      </c>
      <c r="CW32" s="26" t="s">
        <v>40</v>
      </c>
      <c r="CY32" s="26" t="s">
        <v>40</v>
      </c>
      <c r="DA32" s="26" t="s">
        <v>40</v>
      </c>
      <c r="DC32" s="26" t="s">
        <v>40</v>
      </c>
      <c r="DE32" s="26" t="s">
        <v>40</v>
      </c>
      <c r="DG32" s="26" t="s">
        <v>40</v>
      </c>
      <c r="DI32" s="26" t="s">
        <v>40</v>
      </c>
      <c r="DK32" s="26" t="s">
        <v>40</v>
      </c>
      <c r="DM32" s="26" t="s">
        <v>40</v>
      </c>
      <c r="DO32" s="26" t="s">
        <v>40</v>
      </c>
      <c r="DQ32" s="26" t="s">
        <v>40</v>
      </c>
      <c r="DS32" s="26" t="s">
        <v>40</v>
      </c>
      <c r="DU32" s="26" t="s">
        <v>40</v>
      </c>
      <c r="DW32" s="26" t="s">
        <v>40</v>
      </c>
      <c r="DY32" s="26" t="s">
        <v>40</v>
      </c>
      <c r="EA32" s="26" t="s">
        <v>40</v>
      </c>
      <c r="EC32" s="26" t="s">
        <v>40</v>
      </c>
      <c r="EE32" s="26" t="s">
        <v>40</v>
      </c>
      <c r="EG32" s="26" t="s">
        <v>40</v>
      </c>
      <c r="EI32" s="26" t="s">
        <v>40</v>
      </c>
      <c r="EK32" s="26" t="s">
        <v>40</v>
      </c>
      <c r="EM32" s="26" t="s">
        <v>40</v>
      </c>
      <c r="EO32" s="26" t="s">
        <v>40</v>
      </c>
      <c r="EQ32" s="26" t="s">
        <v>40</v>
      </c>
      <c r="ES32" s="26" t="s">
        <v>40</v>
      </c>
      <c r="EU32" s="26" t="s">
        <v>40</v>
      </c>
      <c r="EW32" s="26" t="s">
        <v>40</v>
      </c>
      <c r="EY32" s="26" t="s">
        <v>40</v>
      </c>
      <c r="FA32" s="26" t="s">
        <v>40</v>
      </c>
      <c r="FC32" s="26" t="s">
        <v>40</v>
      </c>
      <c r="FE32" s="26" t="s">
        <v>40</v>
      </c>
      <c r="FG32" s="26" t="s">
        <v>40</v>
      </c>
      <c r="FI32" s="26" t="s">
        <v>40</v>
      </c>
      <c r="FK32" s="26" t="s">
        <v>40</v>
      </c>
      <c r="FM32" s="26" t="s">
        <v>40</v>
      </c>
      <c r="FO32" s="26" t="s">
        <v>40</v>
      </c>
      <c r="FQ32" s="26" t="s">
        <v>40</v>
      </c>
      <c r="FS32" s="26" t="s">
        <v>40</v>
      </c>
      <c r="FU32" s="26" t="s">
        <v>40</v>
      </c>
      <c r="FW32" s="26" t="s">
        <v>40</v>
      </c>
      <c r="FY32" s="26" t="s">
        <v>40</v>
      </c>
      <c r="GA32" s="26" t="s">
        <v>40</v>
      </c>
      <c r="GC32" s="26" t="s">
        <v>40</v>
      </c>
      <c r="GE32" s="26" t="s">
        <v>40</v>
      </c>
      <c r="GG32" s="26" t="s">
        <v>40</v>
      </c>
      <c r="GI32" s="26" t="s">
        <v>40</v>
      </c>
      <c r="GK32" s="26" t="s">
        <v>40</v>
      </c>
      <c r="GM32" s="26" t="s">
        <v>40</v>
      </c>
      <c r="GO32" s="26" t="s">
        <v>40</v>
      </c>
      <c r="GQ32" s="26" t="s">
        <v>40</v>
      </c>
      <c r="GS32" s="26" t="s">
        <v>40</v>
      </c>
      <c r="GU32" s="26" t="s">
        <v>40</v>
      </c>
      <c r="GW32" s="26" t="s">
        <v>40</v>
      </c>
      <c r="GY32" s="26" t="s">
        <v>40</v>
      </c>
      <c r="HA32" s="26" t="s">
        <v>40</v>
      </c>
      <c r="HC32" s="26" t="s">
        <v>40</v>
      </c>
    </row>
    <row r="33" spans="2:211" ht="17" thickBot="1" x14ac:dyDescent="0.25">
      <c r="C33" s="8" t="s">
        <v>23</v>
      </c>
      <c r="D33" s="9" t="s">
        <v>24</v>
      </c>
      <c r="E33" s="265">
        <v>9</v>
      </c>
      <c r="G33" s="38"/>
      <c r="O33" s="62"/>
      <c r="P33" s="60"/>
      <c r="Q33" s="88" t="str">
        <f>IF(R26="options","Options:","Shares:")</f>
        <v>Options:</v>
      </c>
      <c r="R33" s="92">
        <f>S26</f>
        <v>100</v>
      </c>
      <c r="S33" s="93" t="str">
        <f>S27</f>
        <v>Long</v>
      </c>
      <c r="T33" s="60"/>
      <c r="U33" s="64" t="s">
        <v>40</v>
      </c>
      <c r="V33" s="10" t="s">
        <v>40</v>
      </c>
      <c r="W33" s="26" t="s">
        <v>40</v>
      </c>
      <c r="Y33" s="26" t="s">
        <v>40</v>
      </c>
      <c r="AA33" s="26" t="s">
        <v>40</v>
      </c>
      <c r="AC33" s="26" t="s">
        <v>40</v>
      </c>
      <c r="AE33" s="26" t="s">
        <v>40</v>
      </c>
      <c r="AG33" s="10" t="s">
        <v>40</v>
      </c>
      <c r="AI33" s="10" t="s">
        <v>40</v>
      </c>
      <c r="AK33" s="10" t="s">
        <v>40</v>
      </c>
      <c r="AM33" s="10" t="s">
        <v>40</v>
      </c>
      <c r="AO33" s="10" t="s">
        <v>40</v>
      </c>
      <c r="AQ33" s="10" t="s">
        <v>40</v>
      </c>
      <c r="AS33" s="10" t="s">
        <v>40</v>
      </c>
      <c r="AU33" s="10" t="s">
        <v>40</v>
      </c>
      <c r="AW33" s="10" t="s">
        <v>40</v>
      </c>
      <c r="AY33" s="10" t="s">
        <v>40</v>
      </c>
      <c r="BA33" s="10" t="s">
        <v>40</v>
      </c>
      <c r="BC33" s="10" t="s">
        <v>40</v>
      </c>
      <c r="BE33" s="10" t="s">
        <v>40</v>
      </c>
      <c r="BG33" s="10" t="s">
        <v>40</v>
      </c>
      <c r="BI33" s="10" t="s">
        <v>40</v>
      </c>
      <c r="BK33" s="10" t="s">
        <v>40</v>
      </c>
      <c r="BM33" s="10" t="s">
        <v>40</v>
      </c>
      <c r="BO33" s="10" t="s">
        <v>40</v>
      </c>
      <c r="BQ33" s="10" t="s">
        <v>40</v>
      </c>
      <c r="BS33" s="10" t="s">
        <v>40</v>
      </c>
      <c r="BU33" s="10" t="s">
        <v>40</v>
      </c>
      <c r="BW33" s="10" t="s">
        <v>40</v>
      </c>
      <c r="BY33" s="10" t="s">
        <v>40</v>
      </c>
      <c r="CA33" s="10" t="s">
        <v>40</v>
      </c>
      <c r="CC33" s="10" t="s">
        <v>40</v>
      </c>
      <c r="CE33" s="10" t="s">
        <v>40</v>
      </c>
      <c r="CG33" s="10" t="s">
        <v>40</v>
      </c>
      <c r="CI33" s="10" t="s">
        <v>40</v>
      </c>
      <c r="CK33" s="10" t="s">
        <v>40</v>
      </c>
      <c r="CM33" s="10" t="s">
        <v>40</v>
      </c>
      <c r="CO33" s="10" t="s">
        <v>40</v>
      </c>
      <c r="CQ33" s="10" t="s">
        <v>40</v>
      </c>
      <c r="CS33" s="10" t="s">
        <v>40</v>
      </c>
      <c r="CU33" s="10" t="s">
        <v>40</v>
      </c>
      <c r="CW33" s="10" t="s">
        <v>40</v>
      </c>
      <c r="CY33" s="10" t="s">
        <v>40</v>
      </c>
      <c r="DA33" s="10" t="s">
        <v>40</v>
      </c>
      <c r="DC33" s="10" t="s">
        <v>40</v>
      </c>
      <c r="DE33" s="10" t="s">
        <v>40</v>
      </c>
      <c r="DG33" s="10" t="s">
        <v>40</v>
      </c>
      <c r="DI33" s="10" t="s">
        <v>40</v>
      </c>
      <c r="DK33" s="10" t="s">
        <v>40</v>
      </c>
      <c r="DM33" s="10" t="s">
        <v>40</v>
      </c>
      <c r="DO33" s="10" t="s">
        <v>40</v>
      </c>
      <c r="DQ33" s="10" t="s">
        <v>40</v>
      </c>
      <c r="DS33" s="10" t="s">
        <v>40</v>
      </c>
      <c r="DU33" s="10" t="s">
        <v>40</v>
      </c>
      <c r="DW33" s="10" t="s">
        <v>40</v>
      </c>
      <c r="DY33" s="10" t="s">
        <v>40</v>
      </c>
      <c r="EA33" s="10" t="s">
        <v>40</v>
      </c>
      <c r="EC33" s="10" t="s">
        <v>40</v>
      </c>
      <c r="EE33" s="10" t="s">
        <v>40</v>
      </c>
      <c r="EG33" s="10" t="s">
        <v>40</v>
      </c>
      <c r="EI33" s="10" t="s">
        <v>40</v>
      </c>
      <c r="EK33" s="10" t="s">
        <v>40</v>
      </c>
      <c r="EM33" s="10" t="s">
        <v>40</v>
      </c>
      <c r="EO33" s="10" t="s">
        <v>40</v>
      </c>
      <c r="EQ33" s="10" t="s">
        <v>40</v>
      </c>
      <c r="ES33" s="10" t="s">
        <v>40</v>
      </c>
      <c r="EU33" s="10" t="s">
        <v>40</v>
      </c>
      <c r="EW33" s="10" t="s">
        <v>40</v>
      </c>
      <c r="EY33" s="10" t="s">
        <v>40</v>
      </c>
      <c r="FA33" s="10" t="s">
        <v>40</v>
      </c>
      <c r="FC33" s="10" t="s">
        <v>40</v>
      </c>
      <c r="FE33" s="10" t="s">
        <v>40</v>
      </c>
      <c r="FG33" s="10" t="s">
        <v>40</v>
      </c>
      <c r="FI33" s="10" t="s">
        <v>40</v>
      </c>
      <c r="FK33" s="10" t="s">
        <v>40</v>
      </c>
      <c r="FM33" s="10" t="s">
        <v>40</v>
      </c>
      <c r="FO33" s="10" t="s">
        <v>40</v>
      </c>
      <c r="FQ33" s="10" t="s">
        <v>40</v>
      </c>
      <c r="FS33" s="10" t="s">
        <v>40</v>
      </c>
      <c r="FU33" s="10" t="s">
        <v>40</v>
      </c>
      <c r="FW33" s="10" t="s">
        <v>40</v>
      </c>
      <c r="FY33" s="10" t="s">
        <v>40</v>
      </c>
      <c r="GA33" s="10" t="s">
        <v>40</v>
      </c>
      <c r="GC33" s="10" t="s">
        <v>40</v>
      </c>
      <c r="GE33" s="10" t="s">
        <v>40</v>
      </c>
      <c r="GG33" s="10" t="s">
        <v>40</v>
      </c>
      <c r="GI33" s="10" t="s">
        <v>40</v>
      </c>
      <c r="GK33" s="10" t="s">
        <v>40</v>
      </c>
      <c r="GM33" s="10" t="s">
        <v>40</v>
      </c>
      <c r="GO33" s="10" t="s">
        <v>40</v>
      </c>
      <c r="GQ33" s="10" t="s">
        <v>40</v>
      </c>
      <c r="GS33" s="10" t="s">
        <v>40</v>
      </c>
      <c r="GU33" s="10" t="s">
        <v>40</v>
      </c>
      <c r="GW33" s="10" t="s">
        <v>40</v>
      </c>
      <c r="GY33" s="10" t="s">
        <v>40</v>
      </c>
      <c r="HA33" s="10" t="s">
        <v>40</v>
      </c>
      <c r="HC33" s="10" t="s">
        <v>40</v>
      </c>
    </row>
    <row r="34" spans="2:211" ht="17" thickBot="1" x14ac:dyDescent="0.25">
      <c r="E34" s="10"/>
      <c r="G34" s="38"/>
      <c r="O34" s="62"/>
      <c r="P34" s="60"/>
      <c r="Q34" s="94" t="str">
        <f xml:space="preserve"> IF(R26 = "options", "Shares:", "Options:")</f>
        <v>Shares:</v>
      </c>
      <c r="R34" s="95">
        <f>ABS(S29)</f>
        <v>53.189123926494538</v>
      </c>
      <c r="S34" s="96" t="str">
        <f>IF(S29&gt;0, "Long", "Short")</f>
        <v>Short</v>
      </c>
      <c r="T34" s="60"/>
      <c r="U34" s="60" t="s">
        <v>40</v>
      </c>
      <c r="W34" s="10" t="s">
        <v>40</v>
      </c>
      <c r="Y34" s="10" t="s">
        <v>40</v>
      </c>
      <c r="AA34" s="10" t="s">
        <v>40</v>
      </c>
      <c r="AC34" s="10" t="s">
        <v>40</v>
      </c>
      <c r="AE34" s="10" t="s">
        <v>40</v>
      </c>
    </row>
    <row r="35" spans="2:211" ht="20" thickBot="1" x14ac:dyDescent="0.3">
      <c r="C35" s="456" t="s">
        <v>18</v>
      </c>
      <c r="D35" s="457"/>
      <c r="E35" s="458"/>
      <c r="G35" s="38"/>
      <c r="J35" s="430" t="s">
        <v>18</v>
      </c>
      <c r="K35" s="432"/>
      <c r="L35" s="431"/>
      <c r="O35" s="62"/>
      <c r="P35" s="60"/>
      <c r="Q35" s="60"/>
      <c r="R35" s="60"/>
      <c r="S35" s="60"/>
      <c r="T35" s="60"/>
      <c r="U35" s="64" t="s">
        <v>40</v>
      </c>
      <c r="V35" s="26" t="s">
        <v>40</v>
      </c>
      <c r="W35" s="26" t="s">
        <v>40</v>
      </c>
      <c r="Y35" s="26" t="s">
        <v>40</v>
      </c>
      <c r="AA35" s="26" t="s">
        <v>40</v>
      </c>
      <c r="AC35" s="26" t="s">
        <v>40</v>
      </c>
      <c r="AE35" s="26" t="s">
        <v>40</v>
      </c>
      <c r="AG35" s="26" t="s">
        <v>40</v>
      </c>
      <c r="AI35" s="26" t="s">
        <v>40</v>
      </c>
      <c r="AK35" s="26" t="s">
        <v>40</v>
      </c>
      <c r="AM35" s="26" t="s">
        <v>40</v>
      </c>
      <c r="AO35" s="26" t="s">
        <v>40</v>
      </c>
      <c r="AQ35" s="26" t="s">
        <v>40</v>
      </c>
      <c r="AS35" s="26" t="s">
        <v>40</v>
      </c>
      <c r="AU35" s="26" t="s">
        <v>40</v>
      </c>
      <c r="AW35" s="26" t="s">
        <v>40</v>
      </c>
      <c r="AY35" s="26" t="s">
        <v>40</v>
      </c>
      <c r="BA35" s="26" t="s">
        <v>40</v>
      </c>
      <c r="BC35" s="26" t="s">
        <v>40</v>
      </c>
      <c r="BE35" s="26" t="s">
        <v>40</v>
      </c>
      <c r="BG35" s="26" t="s">
        <v>40</v>
      </c>
      <c r="BI35" s="26" t="s">
        <v>40</v>
      </c>
      <c r="BK35" s="26" t="s">
        <v>40</v>
      </c>
      <c r="BM35" s="26" t="s">
        <v>40</v>
      </c>
      <c r="BO35" s="26" t="s">
        <v>40</v>
      </c>
      <c r="BQ35" s="26" t="s">
        <v>40</v>
      </c>
      <c r="BS35" s="26" t="s">
        <v>40</v>
      </c>
      <c r="BU35" s="26" t="s">
        <v>40</v>
      </c>
      <c r="BW35" s="26" t="s">
        <v>40</v>
      </c>
      <c r="BY35" s="26" t="s">
        <v>40</v>
      </c>
      <c r="CA35" s="26" t="s">
        <v>40</v>
      </c>
      <c r="CC35" s="26" t="s">
        <v>40</v>
      </c>
      <c r="CE35" s="26" t="s">
        <v>40</v>
      </c>
      <c r="CG35" s="26" t="s">
        <v>40</v>
      </c>
      <c r="CI35" s="26" t="s">
        <v>40</v>
      </c>
      <c r="CK35" s="26" t="s">
        <v>40</v>
      </c>
      <c r="CM35" s="26" t="s">
        <v>40</v>
      </c>
      <c r="CO35" s="26" t="s">
        <v>40</v>
      </c>
      <c r="CQ35" s="26" t="s">
        <v>40</v>
      </c>
      <c r="CS35" s="26" t="s">
        <v>40</v>
      </c>
      <c r="CU35" s="26" t="s">
        <v>40</v>
      </c>
      <c r="CW35" s="26" t="s">
        <v>40</v>
      </c>
      <c r="CY35" s="26" t="s">
        <v>40</v>
      </c>
      <c r="DA35" s="26" t="s">
        <v>40</v>
      </c>
      <c r="DC35" s="26" t="s">
        <v>40</v>
      </c>
      <c r="DE35" s="26" t="s">
        <v>40</v>
      </c>
      <c r="DG35" s="26" t="s">
        <v>40</v>
      </c>
      <c r="DI35" s="26" t="s">
        <v>40</v>
      </c>
      <c r="DK35" s="26" t="s">
        <v>40</v>
      </c>
      <c r="DM35" s="26" t="s">
        <v>40</v>
      </c>
      <c r="DO35" s="26" t="s">
        <v>40</v>
      </c>
      <c r="DQ35" s="26" t="s">
        <v>40</v>
      </c>
      <c r="DS35" s="26" t="s">
        <v>40</v>
      </c>
      <c r="DU35" s="26" t="s">
        <v>40</v>
      </c>
      <c r="DW35" s="26" t="s">
        <v>40</v>
      </c>
      <c r="DY35" s="26" t="s">
        <v>40</v>
      </c>
      <c r="EA35" s="26" t="s">
        <v>40</v>
      </c>
      <c r="EC35" s="26" t="s">
        <v>40</v>
      </c>
      <c r="EE35" s="26" t="s">
        <v>40</v>
      </c>
      <c r="EG35" s="26" t="s">
        <v>40</v>
      </c>
      <c r="EI35" s="26" t="s">
        <v>40</v>
      </c>
      <c r="EK35" s="26" t="s">
        <v>40</v>
      </c>
      <c r="EM35" s="26" t="s">
        <v>40</v>
      </c>
      <c r="EO35" s="26" t="s">
        <v>40</v>
      </c>
      <c r="EQ35" s="26" t="s">
        <v>40</v>
      </c>
      <c r="ES35" s="26" t="s">
        <v>40</v>
      </c>
      <c r="EU35" s="26" t="s">
        <v>40</v>
      </c>
      <c r="EW35" s="26" t="s">
        <v>40</v>
      </c>
      <c r="EY35" s="26" t="s">
        <v>40</v>
      </c>
      <c r="FA35" s="26" t="s">
        <v>40</v>
      </c>
      <c r="FC35" s="26" t="s">
        <v>40</v>
      </c>
      <c r="FE35" s="26" t="s">
        <v>40</v>
      </c>
      <c r="FG35" s="26" t="s">
        <v>40</v>
      </c>
      <c r="FI35" s="26" t="s">
        <v>40</v>
      </c>
      <c r="FK35" s="26" t="s">
        <v>40</v>
      </c>
      <c r="FM35" s="26" t="s">
        <v>40</v>
      </c>
      <c r="FO35" s="26" t="s">
        <v>40</v>
      </c>
      <c r="FQ35" s="26" t="s">
        <v>40</v>
      </c>
      <c r="FS35" s="26" t="s">
        <v>40</v>
      </c>
      <c r="FU35" s="26" t="s">
        <v>40</v>
      </c>
      <c r="FW35" s="26" t="s">
        <v>40</v>
      </c>
      <c r="FY35" s="26" t="s">
        <v>40</v>
      </c>
      <c r="GA35" s="26" t="s">
        <v>40</v>
      </c>
      <c r="GC35" s="26" t="s">
        <v>40</v>
      </c>
      <c r="GE35" s="26" t="s">
        <v>40</v>
      </c>
      <c r="GG35" s="26" t="s">
        <v>40</v>
      </c>
      <c r="GI35" s="26" t="s">
        <v>40</v>
      </c>
      <c r="GK35" s="26" t="s">
        <v>40</v>
      </c>
      <c r="GM35" s="26" t="s">
        <v>40</v>
      </c>
      <c r="GO35" s="26" t="s">
        <v>40</v>
      </c>
      <c r="GQ35" s="26" t="s">
        <v>40</v>
      </c>
      <c r="GS35" s="26" t="s">
        <v>40</v>
      </c>
      <c r="GU35" s="26" t="s">
        <v>40</v>
      </c>
      <c r="GW35" s="26" t="s">
        <v>40</v>
      </c>
      <c r="GY35" s="26" t="s">
        <v>40</v>
      </c>
      <c r="HA35" s="26" t="s">
        <v>40</v>
      </c>
      <c r="HC35" s="26" t="s">
        <v>40</v>
      </c>
    </row>
    <row r="36" spans="2:211" x14ac:dyDescent="0.2">
      <c r="C36" s="16" t="s">
        <v>27</v>
      </c>
      <c r="D36" s="459">
        <f>T/n</f>
        <v>4.3531202435312027E-2</v>
      </c>
      <c r="E36" s="460"/>
      <c r="G36" s="38"/>
      <c r="O36" s="62"/>
      <c r="P36" s="60"/>
      <c r="Q36" s="60"/>
      <c r="R36" s="60"/>
      <c r="S36" s="60"/>
      <c r="T36" s="60"/>
      <c r="U36" s="64" t="s">
        <v>40</v>
      </c>
      <c r="V36" s="10" t="s">
        <v>40</v>
      </c>
      <c r="W36" s="26" t="s">
        <v>40</v>
      </c>
      <c r="Y36" s="26" t="s">
        <v>40</v>
      </c>
      <c r="AA36" s="26" t="s">
        <v>40</v>
      </c>
      <c r="AC36" s="26" t="s">
        <v>40</v>
      </c>
      <c r="AE36" s="26" t="s">
        <v>40</v>
      </c>
      <c r="AG36" s="10" t="s">
        <v>40</v>
      </c>
      <c r="AI36" s="10" t="s">
        <v>40</v>
      </c>
      <c r="AK36" s="10" t="s">
        <v>40</v>
      </c>
      <c r="AM36" s="10" t="s">
        <v>40</v>
      </c>
      <c r="AO36" s="10" t="s">
        <v>40</v>
      </c>
      <c r="AQ36" s="10" t="s">
        <v>40</v>
      </c>
      <c r="AS36" s="10" t="s">
        <v>40</v>
      </c>
      <c r="AU36" s="10" t="s">
        <v>40</v>
      </c>
      <c r="AW36" s="10" t="s">
        <v>40</v>
      </c>
      <c r="AY36" s="10" t="s">
        <v>40</v>
      </c>
      <c r="BA36" s="10" t="s">
        <v>40</v>
      </c>
      <c r="BC36" s="10" t="s">
        <v>40</v>
      </c>
      <c r="BE36" s="10" t="s">
        <v>40</v>
      </c>
      <c r="BG36" s="10" t="s">
        <v>40</v>
      </c>
      <c r="BI36" s="10" t="s">
        <v>40</v>
      </c>
      <c r="BK36" s="10" t="s">
        <v>40</v>
      </c>
      <c r="BM36" s="10" t="s">
        <v>40</v>
      </c>
      <c r="BO36" s="10" t="s">
        <v>40</v>
      </c>
      <c r="BQ36" s="10" t="s">
        <v>40</v>
      </c>
      <c r="BS36" s="10" t="s">
        <v>40</v>
      </c>
      <c r="BU36" s="10" t="s">
        <v>40</v>
      </c>
      <c r="BW36" s="10" t="s">
        <v>40</v>
      </c>
      <c r="BY36" s="10" t="s">
        <v>40</v>
      </c>
      <c r="CA36" s="10" t="s">
        <v>40</v>
      </c>
      <c r="CC36" s="10" t="s">
        <v>40</v>
      </c>
      <c r="CE36" s="10" t="s">
        <v>40</v>
      </c>
      <c r="CG36" s="10" t="s">
        <v>40</v>
      </c>
      <c r="CI36" s="10" t="s">
        <v>40</v>
      </c>
      <c r="CK36" s="10" t="s">
        <v>40</v>
      </c>
      <c r="CM36" s="10" t="s">
        <v>40</v>
      </c>
      <c r="CO36" s="10" t="s">
        <v>40</v>
      </c>
      <c r="CQ36" s="10" t="s">
        <v>40</v>
      </c>
      <c r="CS36" s="10" t="s">
        <v>40</v>
      </c>
      <c r="CU36" s="10" t="s">
        <v>40</v>
      </c>
      <c r="CW36" s="10" t="s">
        <v>40</v>
      </c>
      <c r="CY36" s="10" t="s">
        <v>40</v>
      </c>
      <c r="DA36" s="10" t="s">
        <v>40</v>
      </c>
      <c r="DC36" s="10" t="s">
        <v>40</v>
      </c>
      <c r="DE36" s="10" t="s">
        <v>40</v>
      </c>
      <c r="DG36" s="10" t="s">
        <v>40</v>
      </c>
      <c r="DI36" s="10" t="s">
        <v>40</v>
      </c>
      <c r="DK36" s="10" t="s">
        <v>40</v>
      </c>
      <c r="DM36" s="10" t="s">
        <v>40</v>
      </c>
      <c r="DO36" s="10" t="s">
        <v>40</v>
      </c>
      <c r="DQ36" s="10" t="s">
        <v>40</v>
      </c>
      <c r="DS36" s="10" t="s">
        <v>40</v>
      </c>
      <c r="DU36" s="10" t="s">
        <v>40</v>
      </c>
      <c r="DW36" s="10" t="s">
        <v>40</v>
      </c>
      <c r="DY36" s="10" t="s">
        <v>40</v>
      </c>
      <c r="EA36" s="10" t="s">
        <v>40</v>
      </c>
      <c r="EC36" s="10" t="s">
        <v>40</v>
      </c>
      <c r="EE36" s="10" t="s">
        <v>40</v>
      </c>
      <c r="EG36" s="10" t="s">
        <v>40</v>
      </c>
      <c r="EI36" s="10" t="s">
        <v>40</v>
      </c>
      <c r="EK36" s="10" t="s">
        <v>40</v>
      </c>
      <c r="EM36" s="10" t="s">
        <v>40</v>
      </c>
      <c r="EO36" s="10" t="s">
        <v>40</v>
      </c>
      <c r="EQ36" s="10" t="s">
        <v>40</v>
      </c>
      <c r="ES36" s="10" t="s">
        <v>40</v>
      </c>
      <c r="EU36" s="10" t="s">
        <v>40</v>
      </c>
      <c r="EW36" s="10" t="s">
        <v>40</v>
      </c>
      <c r="EY36" s="10" t="s">
        <v>40</v>
      </c>
      <c r="FA36" s="10" t="s">
        <v>40</v>
      </c>
      <c r="FC36" s="10" t="s">
        <v>40</v>
      </c>
      <c r="FE36" s="10" t="s">
        <v>40</v>
      </c>
      <c r="FG36" s="10" t="s">
        <v>40</v>
      </c>
      <c r="FI36" s="10" t="s">
        <v>40</v>
      </c>
      <c r="FK36" s="10" t="s">
        <v>40</v>
      </c>
      <c r="FM36" s="10" t="s">
        <v>40</v>
      </c>
      <c r="FO36" s="10" t="s">
        <v>40</v>
      </c>
      <c r="FQ36" s="10" t="s">
        <v>40</v>
      </c>
      <c r="FS36" s="10" t="s">
        <v>40</v>
      </c>
      <c r="FU36" s="10" t="s">
        <v>40</v>
      </c>
      <c r="FW36" s="10" t="s">
        <v>40</v>
      </c>
      <c r="FY36" s="10" t="s">
        <v>40</v>
      </c>
      <c r="GA36" s="10" t="s">
        <v>40</v>
      </c>
      <c r="GC36" s="10" t="s">
        <v>40</v>
      </c>
      <c r="GE36" s="10" t="s">
        <v>40</v>
      </c>
      <c r="GG36" s="10" t="s">
        <v>40</v>
      </c>
      <c r="GI36" s="10" t="s">
        <v>40</v>
      </c>
      <c r="GK36" s="10" t="s">
        <v>40</v>
      </c>
      <c r="GM36" s="10" t="s">
        <v>40</v>
      </c>
      <c r="GO36" s="10" t="s">
        <v>40</v>
      </c>
      <c r="GQ36" s="10" t="s">
        <v>40</v>
      </c>
      <c r="GS36" s="10" t="s">
        <v>40</v>
      </c>
      <c r="GU36" s="10" t="s">
        <v>40</v>
      </c>
      <c r="GW36" s="10" t="s">
        <v>40</v>
      </c>
      <c r="GY36" s="10" t="s">
        <v>40</v>
      </c>
      <c r="HA36" s="10" t="s">
        <v>40</v>
      </c>
      <c r="HC36" s="10" t="s">
        <v>40</v>
      </c>
    </row>
    <row r="37" spans="2:211" x14ac:dyDescent="0.2">
      <c r="C37" s="22" t="s">
        <v>26</v>
      </c>
      <c r="D37" s="461">
        <f>EXP(sigma * SQRT(delta))</f>
        <v>1.0041815448600149</v>
      </c>
      <c r="E37" s="462"/>
      <c r="G37" s="38"/>
      <c r="O37" s="62"/>
      <c r="P37" s="60"/>
      <c r="Q37" s="60"/>
      <c r="R37" s="60"/>
      <c r="S37" s="60"/>
      <c r="T37" s="60"/>
      <c r="U37" s="60" t="s">
        <v>40</v>
      </c>
      <c r="W37" s="10" t="s">
        <v>40</v>
      </c>
      <c r="Y37" s="10" t="s">
        <v>40</v>
      </c>
      <c r="AA37" s="10" t="s">
        <v>40</v>
      </c>
      <c r="AC37" s="10" t="s">
        <v>40</v>
      </c>
      <c r="AE37" s="10" t="s">
        <v>40</v>
      </c>
    </row>
    <row r="38" spans="2:211" x14ac:dyDescent="0.2">
      <c r="C38" s="22" t="s">
        <v>28</v>
      </c>
      <c r="D38" s="461" cm="1">
        <f t="array" ref="D38" xml:space="preserve"> 1 / u</f>
        <v>0.99583586764622545</v>
      </c>
      <c r="E38" s="462"/>
      <c r="G38" s="38"/>
      <c r="O38" s="62"/>
      <c r="P38" s="60"/>
      <c r="Q38" s="60"/>
      <c r="R38" s="60"/>
      <c r="S38" s="60"/>
      <c r="T38" s="60"/>
      <c r="U38" s="64" t="s">
        <v>40</v>
      </c>
      <c r="V38" s="26" t="s">
        <v>40</v>
      </c>
      <c r="W38" s="26" t="s">
        <v>40</v>
      </c>
      <c r="Y38" s="26" t="s">
        <v>40</v>
      </c>
      <c r="AA38" s="26" t="s">
        <v>40</v>
      </c>
      <c r="AC38" s="26" t="s">
        <v>40</v>
      </c>
      <c r="AE38" s="26" t="s">
        <v>40</v>
      </c>
      <c r="AG38" s="26" t="s">
        <v>40</v>
      </c>
      <c r="AI38" s="26" t="s">
        <v>40</v>
      </c>
      <c r="AK38" s="26" t="s">
        <v>40</v>
      </c>
      <c r="AM38" s="26" t="s">
        <v>40</v>
      </c>
      <c r="AO38" s="26" t="s">
        <v>40</v>
      </c>
      <c r="AQ38" s="26" t="s">
        <v>40</v>
      </c>
      <c r="AS38" s="26" t="s">
        <v>40</v>
      </c>
      <c r="AU38" s="26" t="s">
        <v>40</v>
      </c>
      <c r="AW38" s="26" t="s">
        <v>40</v>
      </c>
      <c r="AY38" s="26" t="s">
        <v>40</v>
      </c>
      <c r="BA38" s="26" t="s">
        <v>40</v>
      </c>
      <c r="BC38" s="26" t="s">
        <v>40</v>
      </c>
      <c r="BE38" s="26" t="s">
        <v>40</v>
      </c>
      <c r="BG38" s="26" t="s">
        <v>40</v>
      </c>
      <c r="BI38" s="26" t="s">
        <v>40</v>
      </c>
      <c r="BK38" s="26" t="s">
        <v>40</v>
      </c>
      <c r="BM38" s="26" t="s">
        <v>40</v>
      </c>
      <c r="BO38" s="26" t="s">
        <v>40</v>
      </c>
      <c r="BQ38" s="26" t="s">
        <v>40</v>
      </c>
      <c r="BS38" s="26" t="s">
        <v>40</v>
      </c>
      <c r="BU38" s="26" t="s">
        <v>40</v>
      </c>
      <c r="BW38" s="26" t="s">
        <v>40</v>
      </c>
      <c r="BY38" s="26" t="s">
        <v>40</v>
      </c>
      <c r="CA38" s="26" t="s">
        <v>40</v>
      </c>
      <c r="CC38" s="26" t="s">
        <v>40</v>
      </c>
      <c r="CE38" s="26" t="s">
        <v>40</v>
      </c>
      <c r="CG38" s="26" t="s">
        <v>40</v>
      </c>
      <c r="CI38" s="26" t="s">
        <v>40</v>
      </c>
      <c r="CK38" s="26" t="s">
        <v>40</v>
      </c>
      <c r="CM38" s="26" t="s">
        <v>40</v>
      </c>
      <c r="CO38" s="26" t="s">
        <v>40</v>
      </c>
      <c r="CQ38" s="26" t="s">
        <v>40</v>
      </c>
      <c r="CS38" s="26" t="s">
        <v>40</v>
      </c>
      <c r="CU38" s="26" t="s">
        <v>40</v>
      </c>
      <c r="CW38" s="26" t="s">
        <v>40</v>
      </c>
      <c r="CY38" s="26" t="s">
        <v>40</v>
      </c>
      <c r="DA38" s="26" t="s">
        <v>40</v>
      </c>
      <c r="DC38" s="26" t="s">
        <v>40</v>
      </c>
      <c r="DE38" s="26" t="s">
        <v>40</v>
      </c>
      <c r="DG38" s="26" t="s">
        <v>40</v>
      </c>
      <c r="DI38" s="26" t="s">
        <v>40</v>
      </c>
      <c r="DK38" s="26" t="s">
        <v>40</v>
      </c>
      <c r="DM38" s="26" t="s">
        <v>40</v>
      </c>
      <c r="DO38" s="26" t="s">
        <v>40</v>
      </c>
      <c r="DQ38" s="26" t="s">
        <v>40</v>
      </c>
      <c r="DS38" s="26" t="s">
        <v>40</v>
      </c>
      <c r="DU38" s="26" t="s">
        <v>40</v>
      </c>
      <c r="DW38" s="26" t="s">
        <v>40</v>
      </c>
      <c r="DY38" s="26" t="s">
        <v>40</v>
      </c>
      <c r="EA38" s="26" t="s">
        <v>40</v>
      </c>
      <c r="EC38" s="26" t="s">
        <v>40</v>
      </c>
      <c r="EE38" s="26" t="s">
        <v>40</v>
      </c>
      <c r="EG38" s="26" t="s">
        <v>40</v>
      </c>
      <c r="EI38" s="26" t="s">
        <v>40</v>
      </c>
      <c r="EK38" s="26" t="s">
        <v>40</v>
      </c>
      <c r="EM38" s="26" t="s">
        <v>40</v>
      </c>
      <c r="EO38" s="26" t="s">
        <v>40</v>
      </c>
      <c r="EQ38" s="26" t="s">
        <v>40</v>
      </c>
      <c r="ES38" s="26" t="s">
        <v>40</v>
      </c>
      <c r="EU38" s="26" t="s">
        <v>40</v>
      </c>
      <c r="EW38" s="26" t="s">
        <v>40</v>
      </c>
      <c r="EY38" s="26" t="s">
        <v>40</v>
      </c>
      <c r="FA38" s="26" t="s">
        <v>40</v>
      </c>
      <c r="FC38" s="26" t="s">
        <v>40</v>
      </c>
      <c r="FE38" s="26" t="s">
        <v>40</v>
      </c>
      <c r="FG38" s="26" t="s">
        <v>40</v>
      </c>
      <c r="FI38" s="26" t="s">
        <v>40</v>
      </c>
      <c r="FK38" s="26" t="s">
        <v>40</v>
      </c>
      <c r="FM38" s="26" t="s">
        <v>40</v>
      </c>
      <c r="FO38" s="26" t="s">
        <v>40</v>
      </c>
      <c r="FQ38" s="26" t="s">
        <v>40</v>
      </c>
      <c r="FS38" s="26" t="s">
        <v>40</v>
      </c>
      <c r="FU38" s="26" t="s">
        <v>40</v>
      </c>
      <c r="FW38" s="26" t="s">
        <v>40</v>
      </c>
      <c r="FY38" s="26" t="s">
        <v>40</v>
      </c>
      <c r="GA38" s="26" t="s">
        <v>40</v>
      </c>
      <c r="GC38" s="26" t="s">
        <v>40</v>
      </c>
      <c r="GE38" s="26" t="s">
        <v>40</v>
      </c>
      <c r="GG38" s="26" t="s">
        <v>40</v>
      </c>
      <c r="GI38" s="26" t="s">
        <v>40</v>
      </c>
      <c r="GK38" s="26" t="s">
        <v>40</v>
      </c>
      <c r="GM38" s="26" t="s">
        <v>40</v>
      </c>
      <c r="GO38" s="26" t="s">
        <v>40</v>
      </c>
      <c r="GQ38" s="26" t="s">
        <v>40</v>
      </c>
      <c r="GS38" s="26" t="s">
        <v>40</v>
      </c>
      <c r="GU38" s="26" t="s">
        <v>40</v>
      </c>
      <c r="GW38" s="26" t="s">
        <v>40</v>
      </c>
      <c r="GY38" s="26" t="s">
        <v>40</v>
      </c>
      <c r="HA38" s="26" t="s">
        <v>40</v>
      </c>
      <c r="HC38" s="26" t="s">
        <v>40</v>
      </c>
    </row>
    <row r="39" spans="2:211" x14ac:dyDescent="0.2">
      <c r="C39" s="22" t="s">
        <v>31</v>
      </c>
      <c r="D39" s="461">
        <f>EXP((riskfree-q)*delta)</f>
        <v>1.0000870661949117</v>
      </c>
      <c r="E39" s="470"/>
      <c r="G39" s="38"/>
      <c r="I39" s="10"/>
      <c r="M39" s="10"/>
      <c r="N39" s="10"/>
      <c r="O39" s="62"/>
      <c r="P39" s="60"/>
      <c r="Q39" s="60"/>
      <c r="R39" s="60"/>
      <c r="S39" s="60"/>
      <c r="T39" s="60"/>
      <c r="U39" s="64" t="s">
        <v>40</v>
      </c>
      <c r="V39" s="10" t="s">
        <v>40</v>
      </c>
      <c r="W39" s="26" t="s">
        <v>40</v>
      </c>
      <c r="Y39" s="26" t="s">
        <v>40</v>
      </c>
      <c r="AA39" s="26" t="s">
        <v>40</v>
      </c>
      <c r="AC39" s="26" t="s">
        <v>40</v>
      </c>
      <c r="AE39" s="26" t="s">
        <v>40</v>
      </c>
      <c r="AG39" s="10" t="s">
        <v>40</v>
      </c>
      <c r="AI39" s="10" t="s">
        <v>40</v>
      </c>
      <c r="AK39" s="10" t="s">
        <v>40</v>
      </c>
      <c r="AM39" s="10" t="s">
        <v>40</v>
      </c>
      <c r="AO39" s="10" t="s">
        <v>40</v>
      </c>
      <c r="AQ39" s="10" t="s">
        <v>40</v>
      </c>
      <c r="AS39" s="10" t="s">
        <v>40</v>
      </c>
      <c r="AU39" s="10" t="s">
        <v>40</v>
      </c>
      <c r="AW39" s="10" t="s">
        <v>40</v>
      </c>
      <c r="AY39" s="10" t="s">
        <v>40</v>
      </c>
      <c r="BA39" s="10" t="s">
        <v>40</v>
      </c>
      <c r="BC39" s="10" t="s">
        <v>40</v>
      </c>
      <c r="BE39" s="10" t="s">
        <v>40</v>
      </c>
      <c r="BG39" s="10" t="s">
        <v>40</v>
      </c>
      <c r="BI39" s="10" t="s">
        <v>40</v>
      </c>
      <c r="BK39" s="10" t="s">
        <v>40</v>
      </c>
      <c r="BM39" s="10" t="s">
        <v>40</v>
      </c>
      <c r="BO39" s="10" t="s">
        <v>40</v>
      </c>
      <c r="BQ39" s="10" t="s">
        <v>40</v>
      </c>
      <c r="BS39" s="10" t="s">
        <v>40</v>
      </c>
      <c r="BU39" s="10" t="s">
        <v>40</v>
      </c>
      <c r="BW39" s="10" t="s">
        <v>40</v>
      </c>
      <c r="BY39" s="10" t="s">
        <v>40</v>
      </c>
      <c r="CA39" s="10" t="s">
        <v>40</v>
      </c>
      <c r="CC39" s="10" t="s">
        <v>40</v>
      </c>
      <c r="CE39" s="10" t="s">
        <v>40</v>
      </c>
      <c r="CG39" s="10" t="s">
        <v>40</v>
      </c>
      <c r="CI39" s="10" t="s">
        <v>40</v>
      </c>
      <c r="CK39" s="10" t="s">
        <v>40</v>
      </c>
      <c r="CM39" s="10" t="s">
        <v>40</v>
      </c>
      <c r="CO39" s="10" t="s">
        <v>40</v>
      </c>
      <c r="CQ39" s="10" t="s">
        <v>40</v>
      </c>
      <c r="CS39" s="10" t="s">
        <v>40</v>
      </c>
      <c r="CU39" s="10" t="s">
        <v>40</v>
      </c>
      <c r="CW39" s="10" t="s">
        <v>40</v>
      </c>
      <c r="CY39" s="10" t="s">
        <v>40</v>
      </c>
      <c r="DA39" s="10" t="s">
        <v>40</v>
      </c>
      <c r="DC39" s="10" t="s">
        <v>40</v>
      </c>
      <c r="DE39" s="10" t="s">
        <v>40</v>
      </c>
      <c r="DG39" s="10" t="s">
        <v>40</v>
      </c>
      <c r="DI39" s="10" t="s">
        <v>40</v>
      </c>
      <c r="DK39" s="10" t="s">
        <v>40</v>
      </c>
      <c r="DM39" s="10" t="s">
        <v>40</v>
      </c>
      <c r="DO39" s="10" t="s">
        <v>40</v>
      </c>
      <c r="DQ39" s="10" t="s">
        <v>40</v>
      </c>
      <c r="DS39" s="10" t="s">
        <v>40</v>
      </c>
      <c r="DU39" s="10" t="s">
        <v>40</v>
      </c>
      <c r="DW39" s="10" t="s">
        <v>40</v>
      </c>
      <c r="DY39" s="10" t="s">
        <v>40</v>
      </c>
      <c r="EA39" s="10" t="s">
        <v>40</v>
      </c>
      <c r="EC39" s="10" t="s">
        <v>40</v>
      </c>
      <c r="EE39" s="10" t="s">
        <v>40</v>
      </c>
      <c r="EG39" s="10" t="s">
        <v>40</v>
      </c>
      <c r="EI39" s="10" t="s">
        <v>40</v>
      </c>
      <c r="EK39" s="10" t="s">
        <v>40</v>
      </c>
      <c r="EM39" s="10" t="s">
        <v>40</v>
      </c>
      <c r="EO39" s="10" t="s">
        <v>40</v>
      </c>
      <c r="EQ39" s="10" t="s">
        <v>40</v>
      </c>
      <c r="ES39" s="10" t="s">
        <v>40</v>
      </c>
      <c r="EU39" s="10" t="s">
        <v>40</v>
      </c>
      <c r="EW39" s="10" t="s">
        <v>40</v>
      </c>
      <c r="EY39" s="10" t="s">
        <v>40</v>
      </c>
      <c r="FA39" s="10" t="s">
        <v>40</v>
      </c>
      <c r="FC39" s="10" t="s">
        <v>40</v>
      </c>
      <c r="FE39" s="10" t="s">
        <v>40</v>
      </c>
      <c r="FG39" s="10" t="s">
        <v>40</v>
      </c>
      <c r="FI39" s="10" t="s">
        <v>40</v>
      </c>
      <c r="FK39" s="10" t="s">
        <v>40</v>
      </c>
      <c r="FM39" s="10" t="s">
        <v>40</v>
      </c>
      <c r="FO39" s="10" t="s">
        <v>40</v>
      </c>
      <c r="FQ39" s="10" t="s">
        <v>40</v>
      </c>
      <c r="FS39" s="10" t="s">
        <v>40</v>
      </c>
      <c r="FU39" s="10" t="s">
        <v>40</v>
      </c>
      <c r="FW39" s="10" t="s">
        <v>40</v>
      </c>
      <c r="FY39" s="10" t="s">
        <v>40</v>
      </c>
      <c r="GA39" s="10" t="s">
        <v>40</v>
      </c>
      <c r="GC39" s="10" t="s">
        <v>40</v>
      </c>
      <c r="GE39" s="10" t="s">
        <v>40</v>
      </c>
      <c r="GG39" s="10" t="s">
        <v>40</v>
      </c>
      <c r="GI39" s="10" t="s">
        <v>40</v>
      </c>
      <c r="GK39" s="10" t="s">
        <v>40</v>
      </c>
      <c r="GM39" s="10" t="s">
        <v>40</v>
      </c>
      <c r="GO39" s="10" t="s">
        <v>40</v>
      </c>
      <c r="GQ39" s="10" t="s">
        <v>40</v>
      </c>
      <c r="GS39" s="10" t="s">
        <v>40</v>
      </c>
      <c r="GU39" s="10" t="s">
        <v>40</v>
      </c>
      <c r="GW39" s="10" t="s">
        <v>40</v>
      </c>
      <c r="GY39" s="10" t="s">
        <v>40</v>
      </c>
      <c r="HA39" s="10" t="s">
        <v>40</v>
      </c>
      <c r="HC39" s="10" t="s">
        <v>40</v>
      </c>
    </row>
    <row r="40" spans="2:211" x14ac:dyDescent="0.2">
      <c r="C40" s="22" t="s">
        <v>29</v>
      </c>
      <c r="D40" s="461">
        <f>(act-d)/(u-d)</f>
        <v>0.50938928498960978</v>
      </c>
      <c r="E40" s="470"/>
      <c r="G40" s="38"/>
      <c r="I40" s="38"/>
      <c r="J40" s="38"/>
      <c r="K40" s="38"/>
      <c r="L40" s="38"/>
      <c r="M40" s="38"/>
      <c r="N40" s="38"/>
      <c r="O40" s="62"/>
      <c r="P40" s="61"/>
      <c r="Q40" s="60"/>
      <c r="R40" s="60"/>
      <c r="S40" s="60" t="s">
        <v>40</v>
      </c>
      <c r="T40" s="60"/>
      <c r="U40" s="60" t="s">
        <v>40</v>
      </c>
      <c r="W40" s="10" t="s">
        <v>40</v>
      </c>
      <c r="Y40" s="10" t="s">
        <v>40</v>
      </c>
      <c r="AA40" s="10" t="s">
        <v>40</v>
      </c>
      <c r="AC40" s="10" t="s">
        <v>40</v>
      </c>
      <c r="AE40" s="10" t="s">
        <v>40</v>
      </c>
    </row>
    <row r="41" spans="2:211" ht="17" thickBot="1" x14ac:dyDescent="0.25">
      <c r="C41" s="17" t="s">
        <v>30</v>
      </c>
      <c r="D41" s="449" cm="1">
        <f t="array" ref="D41">1-pu</f>
        <v>0.49061071501039022</v>
      </c>
      <c r="E41" s="450"/>
      <c r="G41" s="38"/>
      <c r="I41" s="38"/>
      <c r="J41" s="38"/>
      <c r="K41" s="38"/>
      <c r="L41" s="38"/>
      <c r="M41" s="38"/>
      <c r="N41" s="38"/>
      <c r="O41" s="62"/>
      <c r="P41" s="61"/>
      <c r="Q41" s="60"/>
      <c r="R41" s="60"/>
      <c r="S41" s="60"/>
      <c r="T41" s="64" t="s">
        <v>40</v>
      </c>
      <c r="U41" s="64" t="s">
        <v>40</v>
      </c>
      <c r="V41" s="26" t="s">
        <v>40</v>
      </c>
      <c r="W41" s="26" t="s">
        <v>40</v>
      </c>
      <c r="Y41" s="26" t="s">
        <v>40</v>
      </c>
      <c r="AA41" s="26" t="s">
        <v>40</v>
      </c>
      <c r="AC41" s="26" t="s">
        <v>40</v>
      </c>
      <c r="AE41" s="26" t="s">
        <v>40</v>
      </c>
      <c r="AG41" s="26" t="s">
        <v>40</v>
      </c>
      <c r="AI41" s="26" t="s">
        <v>40</v>
      </c>
      <c r="AK41" s="26" t="s">
        <v>40</v>
      </c>
      <c r="AM41" s="26" t="s">
        <v>40</v>
      </c>
      <c r="AO41" s="26" t="s">
        <v>40</v>
      </c>
      <c r="AQ41" s="26" t="s">
        <v>40</v>
      </c>
      <c r="AS41" s="26" t="s">
        <v>40</v>
      </c>
      <c r="AU41" s="26" t="s">
        <v>40</v>
      </c>
      <c r="AW41" s="26" t="s">
        <v>40</v>
      </c>
      <c r="AY41" s="26" t="s">
        <v>40</v>
      </c>
      <c r="BA41" s="26" t="s">
        <v>40</v>
      </c>
      <c r="BC41" s="26" t="s">
        <v>40</v>
      </c>
      <c r="BE41" s="26" t="s">
        <v>40</v>
      </c>
      <c r="BG41" s="26" t="s">
        <v>40</v>
      </c>
      <c r="BI41" s="26" t="s">
        <v>40</v>
      </c>
      <c r="BK41" s="26" t="s">
        <v>40</v>
      </c>
      <c r="BM41" s="26" t="s">
        <v>40</v>
      </c>
      <c r="BO41" s="26" t="s">
        <v>40</v>
      </c>
      <c r="BQ41" s="26" t="s">
        <v>40</v>
      </c>
      <c r="BS41" s="26" t="s">
        <v>40</v>
      </c>
      <c r="BU41" s="26" t="s">
        <v>40</v>
      </c>
      <c r="BW41" s="26" t="s">
        <v>40</v>
      </c>
      <c r="BY41" s="26" t="s">
        <v>40</v>
      </c>
      <c r="CA41" s="26" t="s">
        <v>40</v>
      </c>
      <c r="CC41" s="26" t="s">
        <v>40</v>
      </c>
      <c r="CE41" s="26" t="s">
        <v>40</v>
      </c>
      <c r="CG41" s="26" t="s">
        <v>40</v>
      </c>
      <c r="CI41" s="26" t="s">
        <v>40</v>
      </c>
      <c r="CK41" s="26" t="s">
        <v>40</v>
      </c>
      <c r="CM41" s="26" t="s">
        <v>40</v>
      </c>
      <c r="CO41" s="26" t="s">
        <v>40</v>
      </c>
      <c r="CQ41" s="26" t="s">
        <v>40</v>
      </c>
      <c r="CS41" s="26" t="s">
        <v>40</v>
      </c>
      <c r="CU41" s="26" t="s">
        <v>40</v>
      </c>
      <c r="CW41" s="26" t="s">
        <v>40</v>
      </c>
      <c r="CY41" s="26" t="s">
        <v>40</v>
      </c>
      <c r="DA41" s="26" t="s">
        <v>40</v>
      </c>
      <c r="DC41" s="26" t="s">
        <v>40</v>
      </c>
      <c r="DE41" s="26" t="s">
        <v>40</v>
      </c>
      <c r="DG41" s="26" t="s">
        <v>40</v>
      </c>
      <c r="DI41" s="26" t="s">
        <v>40</v>
      </c>
      <c r="DK41" s="26" t="s">
        <v>40</v>
      </c>
      <c r="DM41" s="26" t="s">
        <v>40</v>
      </c>
      <c r="DO41" s="26" t="s">
        <v>40</v>
      </c>
      <c r="DQ41" s="26" t="s">
        <v>40</v>
      </c>
      <c r="DS41" s="26" t="s">
        <v>40</v>
      </c>
      <c r="DU41" s="26" t="s">
        <v>40</v>
      </c>
      <c r="DW41" s="26" t="s">
        <v>40</v>
      </c>
      <c r="DY41" s="26" t="s">
        <v>40</v>
      </c>
      <c r="EA41" s="26" t="s">
        <v>40</v>
      </c>
      <c r="EC41" s="26" t="s">
        <v>40</v>
      </c>
      <c r="EE41" s="26" t="s">
        <v>40</v>
      </c>
      <c r="EG41" s="26" t="s">
        <v>40</v>
      </c>
      <c r="EI41" s="26" t="s">
        <v>40</v>
      </c>
      <c r="EK41" s="26" t="s">
        <v>40</v>
      </c>
      <c r="EM41" s="26" t="s">
        <v>40</v>
      </c>
      <c r="EO41" s="26" t="s">
        <v>40</v>
      </c>
      <c r="EQ41" s="26" t="s">
        <v>40</v>
      </c>
      <c r="ES41" s="26" t="s">
        <v>40</v>
      </c>
      <c r="EU41" s="26" t="s">
        <v>40</v>
      </c>
      <c r="EW41" s="26" t="s">
        <v>40</v>
      </c>
      <c r="EY41" s="26" t="s">
        <v>40</v>
      </c>
      <c r="FA41" s="26" t="s">
        <v>40</v>
      </c>
      <c r="FC41" s="26" t="s">
        <v>40</v>
      </c>
      <c r="FE41" s="26" t="s">
        <v>40</v>
      </c>
      <c r="FG41" s="26" t="s">
        <v>40</v>
      </c>
      <c r="FI41" s="26" t="s">
        <v>40</v>
      </c>
      <c r="FK41" s="26" t="s">
        <v>40</v>
      </c>
      <c r="FM41" s="26" t="s">
        <v>40</v>
      </c>
      <c r="FO41" s="26" t="s">
        <v>40</v>
      </c>
      <c r="FQ41" s="26" t="s">
        <v>40</v>
      </c>
      <c r="FS41" s="26" t="s">
        <v>40</v>
      </c>
      <c r="FU41" s="26" t="s">
        <v>40</v>
      </c>
      <c r="FW41" s="26" t="s">
        <v>40</v>
      </c>
      <c r="FY41" s="26" t="s">
        <v>40</v>
      </c>
      <c r="GA41" s="26" t="s">
        <v>40</v>
      </c>
      <c r="GC41" s="26" t="s">
        <v>40</v>
      </c>
      <c r="GE41" s="26" t="s">
        <v>40</v>
      </c>
      <c r="GG41" s="26" t="s">
        <v>40</v>
      </c>
      <c r="GI41" s="26" t="s">
        <v>40</v>
      </c>
      <c r="GK41" s="26" t="s">
        <v>40</v>
      </c>
      <c r="GM41" s="26" t="s">
        <v>40</v>
      </c>
      <c r="GO41" s="26" t="s">
        <v>40</v>
      </c>
      <c r="GQ41" s="26" t="s">
        <v>40</v>
      </c>
      <c r="GS41" s="26" t="s">
        <v>40</v>
      </c>
      <c r="GU41" s="26" t="s">
        <v>40</v>
      </c>
      <c r="GW41" s="26" t="s">
        <v>40</v>
      </c>
      <c r="GY41" s="26" t="s">
        <v>40</v>
      </c>
      <c r="HA41" s="26" t="s">
        <v>40</v>
      </c>
      <c r="HC41" s="26" t="s">
        <v>40</v>
      </c>
    </row>
    <row r="42" spans="2:211" ht="17" thickBot="1" x14ac:dyDescent="0.25">
      <c r="G42" s="38"/>
      <c r="I42" s="38"/>
      <c r="J42" s="38"/>
      <c r="K42" s="38"/>
      <c r="L42" s="38"/>
      <c r="M42" s="38"/>
      <c r="N42" s="38"/>
      <c r="O42" s="62"/>
      <c r="P42" s="61"/>
      <c r="Q42" s="60"/>
      <c r="R42" s="60"/>
      <c r="S42" s="60"/>
      <c r="T42" s="60" t="s">
        <v>40</v>
      </c>
      <c r="U42" s="64" t="s">
        <v>40</v>
      </c>
      <c r="V42" s="10" t="s">
        <v>40</v>
      </c>
      <c r="W42" s="26" t="s">
        <v>40</v>
      </c>
      <c r="Y42" s="26" t="s">
        <v>40</v>
      </c>
      <c r="AA42" s="26" t="s">
        <v>40</v>
      </c>
      <c r="AC42" s="26" t="s">
        <v>40</v>
      </c>
      <c r="AE42" s="26" t="s">
        <v>40</v>
      </c>
      <c r="AG42" s="10" t="s">
        <v>40</v>
      </c>
      <c r="AI42" s="10" t="s">
        <v>40</v>
      </c>
      <c r="AK42" s="10" t="s">
        <v>40</v>
      </c>
      <c r="AM42" s="10" t="s">
        <v>40</v>
      </c>
      <c r="AO42" s="10" t="s">
        <v>40</v>
      </c>
      <c r="AQ42" s="10" t="s">
        <v>40</v>
      </c>
      <c r="AS42" s="10" t="s">
        <v>40</v>
      </c>
      <c r="AU42" s="10" t="s">
        <v>40</v>
      </c>
      <c r="AW42" s="10" t="s">
        <v>40</v>
      </c>
      <c r="AY42" s="10" t="s">
        <v>40</v>
      </c>
      <c r="BA42" s="10" t="s">
        <v>40</v>
      </c>
      <c r="BC42" s="10" t="s">
        <v>40</v>
      </c>
      <c r="BE42" s="10" t="s">
        <v>40</v>
      </c>
      <c r="BG42" s="10" t="s">
        <v>40</v>
      </c>
      <c r="BI42" s="10" t="s">
        <v>40</v>
      </c>
      <c r="BK42" s="10" t="s">
        <v>40</v>
      </c>
      <c r="BM42" s="10" t="s">
        <v>40</v>
      </c>
      <c r="BO42" s="10" t="s">
        <v>40</v>
      </c>
      <c r="BQ42" s="10" t="s">
        <v>40</v>
      </c>
      <c r="BS42" s="10" t="s">
        <v>40</v>
      </c>
      <c r="BU42" s="10" t="s">
        <v>40</v>
      </c>
      <c r="BW42" s="10" t="s">
        <v>40</v>
      </c>
      <c r="BY42" s="10" t="s">
        <v>40</v>
      </c>
      <c r="CA42" s="10" t="s">
        <v>40</v>
      </c>
      <c r="CC42" s="10" t="s">
        <v>40</v>
      </c>
      <c r="CE42" s="10" t="s">
        <v>40</v>
      </c>
      <c r="CG42" s="10" t="s">
        <v>40</v>
      </c>
      <c r="CI42" s="10" t="s">
        <v>40</v>
      </c>
      <c r="CK42" s="10" t="s">
        <v>40</v>
      </c>
      <c r="CM42" s="10" t="s">
        <v>40</v>
      </c>
      <c r="CO42" s="10" t="s">
        <v>40</v>
      </c>
      <c r="CQ42" s="10" t="s">
        <v>40</v>
      </c>
      <c r="CS42" s="10" t="s">
        <v>40</v>
      </c>
      <c r="CU42" s="10" t="s">
        <v>40</v>
      </c>
      <c r="CW42" s="10" t="s">
        <v>40</v>
      </c>
      <c r="CY42" s="10" t="s">
        <v>40</v>
      </c>
      <c r="DA42" s="10" t="s">
        <v>40</v>
      </c>
      <c r="DC42" s="10" t="s">
        <v>40</v>
      </c>
      <c r="DE42" s="10" t="s">
        <v>40</v>
      </c>
      <c r="DG42" s="10" t="s">
        <v>40</v>
      </c>
      <c r="DI42" s="10" t="s">
        <v>40</v>
      </c>
      <c r="DK42" s="10" t="s">
        <v>40</v>
      </c>
      <c r="DM42" s="10" t="s">
        <v>40</v>
      </c>
      <c r="DO42" s="10" t="s">
        <v>40</v>
      </c>
      <c r="DQ42" s="10" t="s">
        <v>40</v>
      </c>
      <c r="DS42" s="10" t="s">
        <v>40</v>
      </c>
      <c r="DU42" s="10" t="s">
        <v>40</v>
      </c>
      <c r="DW42" s="10" t="s">
        <v>40</v>
      </c>
      <c r="DY42" s="10" t="s">
        <v>40</v>
      </c>
      <c r="EA42" s="10" t="s">
        <v>40</v>
      </c>
      <c r="EC42" s="10" t="s">
        <v>40</v>
      </c>
      <c r="EE42" s="10" t="s">
        <v>40</v>
      </c>
      <c r="EG42" s="10" t="s">
        <v>40</v>
      </c>
      <c r="EI42" s="10" t="s">
        <v>40</v>
      </c>
      <c r="EK42" s="10" t="s">
        <v>40</v>
      </c>
      <c r="EM42" s="10" t="s">
        <v>40</v>
      </c>
      <c r="EO42" s="10" t="s">
        <v>40</v>
      </c>
      <c r="EQ42" s="10" t="s">
        <v>40</v>
      </c>
      <c r="ES42" s="10" t="s">
        <v>40</v>
      </c>
      <c r="EU42" s="10" t="s">
        <v>40</v>
      </c>
      <c r="EW42" s="10" t="s">
        <v>40</v>
      </c>
      <c r="EY42" s="10" t="s">
        <v>40</v>
      </c>
      <c r="FA42" s="10" t="s">
        <v>40</v>
      </c>
      <c r="FC42" s="10" t="s">
        <v>40</v>
      </c>
      <c r="FE42" s="10" t="s">
        <v>40</v>
      </c>
      <c r="FG42" s="10" t="s">
        <v>40</v>
      </c>
      <c r="FI42" s="10" t="s">
        <v>40</v>
      </c>
      <c r="FK42" s="10" t="s">
        <v>40</v>
      </c>
      <c r="FM42" s="10" t="s">
        <v>40</v>
      </c>
      <c r="FO42" s="10" t="s">
        <v>40</v>
      </c>
      <c r="FQ42" s="10" t="s">
        <v>40</v>
      </c>
      <c r="FS42" s="10" t="s">
        <v>40</v>
      </c>
      <c r="FU42" s="10" t="s">
        <v>40</v>
      </c>
      <c r="FW42" s="10" t="s">
        <v>40</v>
      </c>
      <c r="FY42" s="10" t="s">
        <v>40</v>
      </c>
      <c r="GA42" s="10" t="s">
        <v>40</v>
      </c>
      <c r="GC42" s="10" t="s">
        <v>40</v>
      </c>
      <c r="GE42" s="10" t="s">
        <v>40</v>
      </c>
      <c r="GG42" s="10" t="s">
        <v>40</v>
      </c>
      <c r="GI42" s="10" t="s">
        <v>40</v>
      </c>
      <c r="GK42" s="10" t="s">
        <v>40</v>
      </c>
      <c r="GM42" s="10" t="s">
        <v>40</v>
      </c>
      <c r="GO42" s="10" t="s">
        <v>40</v>
      </c>
      <c r="GQ42" s="10" t="s">
        <v>40</v>
      </c>
      <c r="GS42" s="10" t="s">
        <v>40</v>
      </c>
      <c r="GU42" s="10" t="s">
        <v>40</v>
      </c>
      <c r="GW42" s="10" t="s">
        <v>40</v>
      </c>
      <c r="GY42" s="10" t="s">
        <v>40</v>
      </c>
      <c r="HA42" s="10" t="s">
        <v>40</v>
      </c>
      <c r="HC42" s="10" t="s">
        <v>40</v>
      </c>
    </row>
    <row r="43" spans="2:211" ht="20" thickBot="1" x14ac:dyDescent="0.3">
      <c r="C43" s="430" t="s">
        <v>13</v>
      </c>
      <c r="D43" s="431"/>
      <c r="E43" s="21" cm="1">
        <f t="array" ref="E43">BinPrice</f>
        <v>18.839300068556909</v>
      </c>
      <c r="G43" s="38"/>
      <c r="H43" s="38"/>
      <c r="I43" s="38"/>
      <c r="J43" s="430" t="s">
        <v>53</v>
      </c>
      <c r="K43" s="431"/>
      <c r="L43" s="21">
        <v>18.02004236500445</v>
      </c>
      <c r="M43" s="38"/>
      <c r="N43" s="38"/>
      <c r="O43" s="62"/>
      <c r="P43" s="61"/>
      <c r="Q43" s="60"/>
      <c r="R43" s="60"/>
      <c r="S43" s="60"/>
      <c r="T43" s="60"/>
      <c r="U43" s="60" t="s">
        <v>40</v>
      </c>
      <c r="W43" s="10" t="s">
        <v>40</v>
      </c>
      <c r="Y43" s="10" t="s">
        <v>40</v>
      </c>
      <c r="AA43" s="10" t="s">
        <v>40</v>
      </c>
      <c r="AC43" s="10" t="s">
        <v>40</v>
      </c>
      <c r="AE43" s="10" t="s">
        <v>40</v>
      </c>
    </row>
    <row r="44" spans="2:211" x14ac:dyDescent="0.2">
      <c r="G44" s="38"/>
      <c r="H44" s="38"/>
      <c r="I44" s="38"/>
      <c r="J44" s="38"/>
      <c r="K44" s="38"/>
      <c r="L44" s="38"/>
      <c r="M44" s="38"/>
      <c r="N44" s="38"/>
      <c r="O44" s="62"/>
      <c r="P44" s="61"/>
      <c r="Q44" s="61"/>
      <c r="R44" s="61"/>
      <c r="S44" s="61"/>
      <c r="T44" s="61"/>
      <c r="U44" s="61"/>
      <c r="V44" s="26" t="s">
        <v>40</v>
      </c>
      <c r="W44" s="26" t="s">
        <v>40</v>
      </c>
      <c r="Y44" s="26" t="s">
        <v>40</v>
      </c>
      <c r="AA44" s="26" t="s">
        <v>40</v>
      </c>
      <c r="AC44" s="26" t="s">
        <v>40</v>
      </c>
      <c r="AE44" s="26" t="s">
        <v>40</v>
      </c>
      <c r="AG44" s="26" t="s">
        <v>40</v>
      </c>
      <c r="AI44" s="26" t="s">
        <v>40</v>
      </c>
      <c r="AK44" s="26" t="s">
        <v>40</v>
      </c>
      <c r="AM44" s="26" t="s">
        <v>40</v>
      </c>
      <c r="AO44" s="26" t="s">
        <v>40</v>
      </c>
      <c r="AQ44" s="26" t="s">
        <v>40</v>
      </c>
      <c r="AS44" s="26" t="s">
        <v>40</v>
      </c>
      <c r="AU44" s="26" t="s">
        <v>40</v>
      </c>
      <c r="AW44" s="26" t="s">
        <v>40</v>
      </c>
      <c r="AY44" s="26" t="s">
        <v>40</v>
      </c>
      <c r="BA44" s="26" t="s">
        <v>40</v>
      </c>
      <c r="BC44" s="26" t="s">
        <v>40</v>
      </c>
      <c r="BE44" s="26" t="s">
        <v>40</v>
      </c>
      <c r="BG44" s="26" t="s">
        <v>40</v>
      </c>
      <c r="BI44" s="26" t="s">
        <v>40</v>
      </c>
      <c r="BK44" s="26" t="s">
        <v>40</v>
      </c>
      <c r="BM44" s="26" t="s">
        <v>40</v>
      </c>
      <c r="BO44" s="26" t="s">
        <v>40</v>
      </c>
      <c r="BQ44" s="26" t="s">
        <v>40</v>
      </c>
      <c r="BS44" s="26" t="s">
        <v>40</v>
      </c>
      <c r="BU44" s="26" t="s">
        <v>40</v>
      </c>
      <c r="BW44" s="26" t="s">
        <v>40</v>
      </c>
      <c r="BY44" s="26" t="s">
        <v>40</v>
      </c>
      <c r="CA44" s="26" t="s">
        <v>40</v>
      </c>
      <c r="CC44" s="26" t="s">
        <v>40</v>
      </c>
      <c r="CE44" s="26" t="s">
        <v>40</v>
      </c>
      <c r="CG44" s="26" t="s">
        <v>40</v>
      </c>
      <c r="CI44" s="26" t="s">
        <v>40</v>
      </c>
      <c r="CK44" s="26" t="s">
        <v>40</v>
      </c>
      <c r="CM44" s="26" t="s">
        <v>40</v>
      </c>
      <c r="CO44" s="26" t="s">
        <v>40</v>
      </c>
      <c r="CQ44" s="26" t="s">
        <v>40</v>
      </c>
      <c r="CS44" s="26" t="s">
        <v>40</v>
      </c>
      <c r="CU44" s="26" t="s">
        <v>40</v>
      </c>
      <c r="CW44" s="26" t="s">
        <v>40</v>
      </c>
      <c r="CY44" s="26" t="s">
        <v>40</v>
      </c>
      <c r="DA44" s="26" t="s">
        <v>40</v>
      </c>
      <c r="DC44" s="26" t="s">
        <v>40</v>
      </c>
      <c r="DE44" s="26" t="s">
        <v>40</v>
      </c>
      <c r="DG44" s="26" t="s">
        <v>40</v>
      </c>
      <c r="DI44" s="26" t="s">
        <v>40</v>
      </c>
      <c r="DK44" s="26" t="s">
        <v>40</v>
      </c>
      <c r="DM44" s="26" t="s">
        <v>40</v>
      </c>
      <c r="DO44" s="26" t="s">
        <v>40</v>
      </c>
      <c r="DQ44" s="26" t="s">
        <v>40</v>
      </c>
      <c r="DS44" s="26" t="s">
        <v>40</v>
      </c>
      <c r="DU44" s="26" t="s">
        <v>40</v>
      </c>
      <c r="DW44" s="26" t="s">
        <v>40</v>
      </c>
      <c r="DY44" s="26" t="s">
        <v>40</v>
      </c>
      <c r="EA44" s="26" t="s">
        <v>40</v>
      </c>
      <c r="EC44" s="26" t="s">
        <v>40</v>
      </c>
      <c r="EE44" s="26" t="s">
        <v>40</v>
      </c>
      <c r="EG44" s="26" t="s">
        <v>40</v>
      </c>
      <c r="EI44" s="26" t="s">
        <v>40</v>
      </c>
      <c r="EK44" s="26" t="s">
        <v>40</v>
      </c>
      <c r="EM44" s="26" t="s">
        <v>40</v>
      </c>
      <c r="EO44" s="26" t="s">
        <v>40</v>
      </c>
      <c r="EQ44" s="26" t="s">
        <v>40</v>
      </c>
      <c r="ES44" s="26" t="s">
        <v>40</v>
      </c>
      <c r="EU44" s="26" t="s">
        <v>40</v>
      </c>
      <c r="EW44" s="26" t="s">
        <v>40</v>
      </c>
      <c r="EY44" s="26" t="s">
        <v>40</v>
      </c>
      <c r="FA44" s="26" t="s">
        <v>40</v>
      </c>
      <c r="FC44" s="26" t="s">
        <v>40</v>
      </c>
      <c r="FE44" s="26" t="s">
        <v>40</v>
      </c>
      <c r="FG44" s="26" t="s">
        <v>40</v>
      </c>
      <c r="FI44" s="26" t="s">
        <v>40</v>
      </c>
      <c r="FK44" s="26" t="s">
        <v>40</v>
      </c>
      <c r="FM44" s="26" t="s">
        <v>40</v>
      </c>
      <c r="FO44" s="26" t="s">
        <v>40</v>
      </c>
      <c r="FQ44" s="26" t="s">
        <v>40</v>
      </c>
      <c r="FS44" s="26" t="s">
        <v>40</v>
      </c>
      <c r="FU44" s="26" t="s">
        <v>40</v>
      </c>
      <c r="FW44" s="26" t="s">
        <v>40</v>
      </c>
      <c r="FY44" s="26" t="s">
        <v>40</v>
      </c>
      <c r="GA44" s="26" t="s">
        <v>40</v>
      </c>
      <c r="GC44" s="26" t="s">
        <v>40</v>
      </c>
      <c r="GE44" s="26" t="s">
        <v>40</v>
      </c>
      <c r="GG44" s="26" t="s">
        <v>40</v>
      </c>
      <c r="GI44" s="26" t="s">
        <v>40</v>
      </c>
      <c r="GK44" s="26" t="s">
        <v>40</v>
      </c>
      <c r="GM44" s="26" t="s">
        <v>40</v>
      </c>
      <c r="GO44" s="26" t="s">
        <v>40</v>
      </c>
      <c r="GQ44" s="26" t="s">
        <v>40</v>
      </c>
      <c r="GS44" s="26" t="s">
        <v>40</v>
      </c>
      <c r="GU44" s="26" t="s">
        <v>40</v>
      </c>
      <c r="GW44" s="26" t="s">
        <v>40</v>
      </c>
      <c r="GY44" s="26" t="s">
        <v>40</v>
      </c>
      <c r="HA44" s="26" t="s">
        <v>40</v>
      </c>
      <c r="HC44" s="26" t="s">
        <v>40</v>
      </c>
    </row>
    <row r="45" spans="2:211" ht="44" customHeight="1" x14ac:dyDescent="0.2">
      <c r="G45" s="38"/>
      <c r="H45" s="38"/>
      <c r="O45" s="38"/>
      <c r="P45" s="38"/>
      <c r="Q45" s="38"/>
      <c r="R45" s="38"/>
      <c r="S45" s="38"/>
      <c r="T45" s="38"/>
      <c r="U45" s="38"/>
      <c r="V45" s="10" t="s">
        <v>40</v>
      </c>
      <c r="W45" s="26" t="s">
        <v>40</v>
      </c>
      <c r="Y45" s="26" t="s">
        <v>40</v>
      </c>
      <c r="AA45" s="26" t="s">
        <v>40</v>
      </c>
      <c r="AC45" s="26" t="s">
        <v>40</v>
      </c>
      <c r="AE45" s="26" t="s">
        <v>40</v>
      </c>
      <c r="AG45" s="10" t="s">
        <v>40</v>
      </c>
      <c r="AI45" s="10" t="s">
        <v>40</v>
      </c>
      <c r="AK45" s="10" t="s">
        <v>40</v>
      </c>
      <c r="AM45" s="10" t="s">
        <v>40</v>
      </c>
      <c r="AO45" s="10" t="s">
        <v>40</v>
      </c>
      <c r="AQ45" s="10" t="s">
        <v>40</v>
      </c>
      <c r="AS45" s="10" t="s">
        <v>40</v>
      </c>
      <c r="AU45" s="10" t="s">
        <v>40</v>
      </c>
      <c r="AW45" s="10" t="s">
        <v>40</v>
      </c>
      <c r="AY45" s="10" t="s">
        <v>40</v>
      </c>
      <c r="BA45" s="10" t="s">
        <v>40</v>
      </c>
      <c r="BC45" s="10" t="s">
        <v>40</v>
      </c>
      <c r="BE45" s="10" t="s">
        <v>40</v>
      </c>
      <c r="BG45" s="10" t="s">
        <v>40</v>
      </c>
      <c r="BI45" s="10" t="s">
        <v>40</v>
      </c>
      <c r="BK45" s="10" t="s">
        <v>40</v>
      </c>
      <c r="BM45" s="10" t="s">
        <v>40</v>
      </c>
      <c r="BO45" s="10" t="s">
        <v>40</v>
      </c>
      <c r="BQ45" s="10" t="s">
        <v>40</v>
      </c>
      <c r="BS45" s="10" t="s">
        <v>40</v>
      </c>
      <c r="BU45" s="10" t="s">
        <v>40</v>
      </c>
      <c r="BW45" s="10" t="s">
        <v>40</v>
      </c>
      <c r="BY45" s="10" t="s">
        <v>40</v>
      </c>
      <c r="CA45" s="10" t="s">
        <v>40</v>
      </c>
      <c r="CC45" s="10" t="s">
        <v>40</v>
      </c>
      <c r="CE45" s="10" t="s">
        <v>40</v>
      </c>
      <c r="CG45" s="10" t="s">
        <v>40</v>
      </c>
      <c r="CI45" s="10" t="s">
        <v>40</v>
      </c>
      <c r="CK45" s="10" t="s">
        <v>40</v>
      </c>
      <c r="CM45" s="10" t="s">
        <v>40</v>
      </c>
      <c r="CO45" s="10" t="s">
        <v>40</v>
      </c>
      <c r="CQ45" s="10" t="s">
        <v>40</v>
      </c>
      <c r="CS45" s="10" t="s">
        <v>40</v>
      </c>
      <c r="CU45" s="10" t="s">
        <v>40</v>
      </c>
      <c r="CW45" s="10" t="s">
        <v>40</v>
      </c>
      <c r="CY45" s="10" t="s">
        <v>40</v>
      </c>
      <c r="DA45" s="10" t="s">
        <v>40</v>
      </c>
      <c r="DC45" s="10" t="s">
        <v>40</v>
      </c>
      <c r="DE45" s="10" t="s">
        <v>40</v>
      </c>
      <c r="DG45" s="10" t="s">
        <v>40</v>
      </c>
      <c r="DI45" s="10" t="s">
        <v>40</v>
      </c>
      <c r="DK45" s="10" t="s">
        <v>40</v>
      </c>
      <c r="DM45" s="10" t="s">
        <v>40</v>
      </c>
      <c r="DO45" s="10" t="s">
        <v>40</v>
      </c>
      <c r="DQ45" s="10" t="s">
        <v>40</v>
      </c>
      <c r="DS45" s="10" t="s">
        <v>40</v>
      </c>
      <c r="DU45" s="10" t="s">
        <v>40</v>
      </c>
      <c r="DW45" s="10" t="s">
        <v>40</v>
      </c>
      <c r="DY45" s="10" t="s">
        <v>40</v>
      </c>
      <c r="EA45" s="10" t="s">
        <v>40</v>
      </c>
      <c r="EC45" s="10" t="s">
        <v>40</v>
      </c>
      <c r="EE45" s="10" t="s">
        <v>40</v>
      </c>
      <c r="EG45" s="10" t="s">
        <v>40</v>
      </c>
      <c r="EI45" s="10" t="s">
        <v>40</v>
      </c>
      <c r="EK45" s="10" t="s">
        <v>40</v>
      </c>
      <c r="EM45" s="10" t="s">
        <v>40</v>
      </c>
      <c r="EO45" s="10" t="s">
        <v>40</v>
      </c>
      <c r="EQ45" s="10" t="s">
        <v>40</v>
      </c>
      <c r="ES45" s="10" t="s">
        <v>40</v>
      </c>
      <c r="EU45" s="10" t="s">
        <v>40</v>
      </c>
      <c r="EW45" s="10" t="s">
        <v>40</v>
      </c>
      <c r="EY45" s="10" t="s">
        <v>40</v>
      </c>
      <c r="FA45" s="10" t="s">
        <v>40</v>
      </c>
      <c r="FC45" s="10" t="s">
        <v>40</v>
      </c>
      <c r="FE45" s="10" t="s">
        <v>40</v>
      </c>
      <c r="FG45" s="10" t="s">
        <v>40</v>
      </c>
      <c r="FI45" s="10" t="s">
        <v>40</v>
      </c>
      <c r="FK45" s="10" t="s">
        <v>40</v>
      </c>
      <c r="FM45" s="10" t="s">
        <v>40</v>
      </c>
      <c r="FO45" s="10" t="s">
        <v>40</v>
      </c>
      <c r="FQ45" s="10" t="s">
        <v>40</v>
      </c>
      <c r="FS45" s="10" t="s">
        <v>40</v>
      </c>
      <c r="FU45" s="10" t="s">
        <v>40</v>
      </c>
      <c r="FW45" s="10" t="s">
        <v>40</v>
      </c>
      <c r="FY45" s="10" t="s">
        <v>40</v>
      </c>
      <c r="GA45" s="10" t="s">
        <v>40</v>
      </c>
      <c r="GC45" s="10" t="s">
        <v>40</v>
      </c>
      <c r="GE45" s="10" t="s">
        <v>40</v>
      </c>
      <c r="GG45" s="10" t="s">
        <v>40</v>
      </c>
      <c r="GI45" s="10" t="s">
        <v>40</v>
      </c>
      <c r="GK45" s="10" t="s">
        <v>40</v>
      </c>
      <c r="GM45" s="10" t="s">
        <v>40</v>
      </c>
      <c r="GO45" s="10" t="s">
        <v>40</v>
      </c>
      <c r="GQ45" s="10" t="s">
        <v>40</v>
      </c>
      <c r="GS45" s="10" t="s">
        <v>40</v>
      </c>
      <c r="GU45" s="10" t="s">
        <v>40</v>
      </c>
      <c r="GW45" s="10" t="s">
        <v>40</v>
      </c>
      <c r="GY45" s="10" t="s">
        <v>40</v>
      </c>
      <c r="HA45" s="10" t="s">
        <v>40</v>
      </c>
      <c r="HC45" s="10" t="s">
        <v>40</v>
      </c>
    </row>
    <row r="46" spans="2:211" ht="17" thickBot="1" x14ac:dyDescent="0.25">
      <c r="W46" s="10" t="s">
        <v>40</v>
      </c>
      <c r="Y46" s="10" t="s">
        <v>40</v>
      </c>
      <c r="AA46" s="10" t="s">
        <v>40</v>
      </c>
      <c r="AC46" s="10" t="s">
        <v>40</v>
      </c>
      <c r="AE46" s="10" t="s">
        <v>40</v>
      </c>
    </row>
    <row r="47" spans="2:211" x14ac:dyDescent="0.2">
      <c r="B47" s="39"/>
      <c r="C47" s="36"/>
      <c r="D47" s="36"/>
      <c r="E47" s="36"/>
      <c r="F47" s="36"/>
      <c r="G47" s="36"/>
      <c r="H47" s="36"/>
      <c r="I47" s="53"/>
      <c r="Y47" s="26" t="s">
        <v>40</v>
      </c>
      <c r="AA47" s="26" t="s">
        <v>40</v>
      </c>
      <c r="AC47" s="26" t="s">
        <v>40</v>
      </c>
      <c r="AE47" s="26" t="s">
        <v>40</v>
      </c>
      <c r="AG47" s="26" t="s">
        <v>40</v>
      </c>
      <c r="AI47" s="26" t="s">
        <v>40</v>
      </c>
      <c r="AK47" s="26" t="s">
        <v>40</v>
      </c>
      <c r="AM47" s="26" t="s">
        <v>40</v>
      </c>
      <c r="AO47" s="26" t="s">
        <v>40</v>
      </c>
      <c r="AQ47" s="26" t="s">
        <v>40</v>
      </c>
      <c r="AS47" s="26" t="s">
        <v>40</v>
      </c>
      <c r="AU47" s="26" t="s">
        <v>40</v>
      </c>
      <c r="AW47" s="26" t="s">
        <v>40</v>
      </c>
      <c r="AY47" s="26" t="s">
        <v>40</v>
      </c>
      <c r="BA47" s="26" t="s">
        <v>40</v>
      </c>
      <c r="BC47" s="26" t="s">
        <v>40</v>
      </c>
      <c r="BE47" s="26" t="s">
        <v>40</v>
      </c>
      <c r="BG47" s="26" t="s">
        <v>40</v>
      </c>
      <c r="BI47" s="26" t="s">
        <v>40</v>
      </c>
      <c r="BK47" s="26" t="s">
        <v>40</v>
      </c>
      <c r="BM47" s="26" t="s">
        <v>40</v>
      </c>
      <c r="BO47" s="26" t="s">
        <v>40</v>
      </c>
      <c r="BQ47" s="26" t="s">
        <v>40</v>
      </c>
      <c r="BS47" s="26" t="s">
        <v>40</v>
      </c>
      <c r="BU47" s="26" t="s">
        <v>40</v>
      </c>
      <c r="BW47" s="26" t="s">
        <v>40</v>
      </c>
      <c r="BY47" s="26" t="s">
        <v>40</v>
      </c>
      <c r="CA47" s="26" t="s">
        <v>40</v>
      </c>
      <c r="CC47" s="26" t="s">
        <v>40</v>
      </c>
      <c r="CE47" s="26" t="s">
        <v>40</v>
      </c>
      <c r="CG47" s="26" t="s">
        <v>40</v>
      </c>
      <c r="CI47" s="26" t="s">
        <v>40</v>
      </c>
      <c r="CK47" s="26" t="s">
        <v>40</v>
      </c>
      <c r="CM47" s="26" t="s">
        <v>40</v>
      </c>
      <c r="CO47" s="26" t="s">
        <v>40</v>
      </c>
      <c r="CQ47" s="26" t="s">
        <v>40</v>
      </c>
      <c r="CS47" s="26" t="s">
        <v>40</v>
      </c>
      <c r="CU47" s="26" t="s">
        <v>40</v>
      </c>
      <c r="CW47" s="26" t="s">
        <v>40</v>
      </c>
      <c r="CY47" s="26" t="s">
        <v>40</v>
      </c>
      <c r="DA47" s="26" t="s">
        <v>40</v>
      </c>
      <c r="DC47" s="26" t="s">
        <v>40</v>
      </c>
      <c r="DE47" s="26" t="s">
        <v>40</v>
      </c>
      <c r="DG47" s="26" t="s">
        <v>40</v>
      </c>
      <c r="DI47" s="26" t="s">
        <v>40</v>
      </c>
      <c r="DK47" s="26" t="s">
        <v>40</v>
      </c>
      <c r="DM47" s="26" t="s">
        <v>40</v>
      </c>
      <c r="DO47" s="26" t="s">
        <v>40</v>
      </c>
      <c r="DQ47" s="26" t="s">
        <v>40</v>
      </c>
      <c r="DS47" s="26" t="s">
        <v>40</v>
      </c>
      <c r="DU47" s="26" t="s">
        <v>40</v>
      </c>
      <c r="DW47" s="26" t="s">
        <v>40</v>
      </c>
      <c r="DY47" s="26" t="s">
        <v>40</v>
      </c>
      <c r="EA47" s="26" t="s">
        <v>40</v>
      </c>
      <c r="EC47" s="26" t="s">
        <v>40</v>
      </c>
      <c r="EE47" s="26" t="s">
        <v>40</v>
      </c>
      <c r="EG47" s="26" t="s">
        <v>40</v>
      </c>
      <c r="EI47" s="26" t="s">
        <v>40</v>
      </c>
      <c r="EK47" s="26" t="s">
        <v>40</v>
      </c>
      <c r="EM47" s="26" t="s">
        <v>40</v>
      </c>
      <c r="EO47" s="26" t="s">
        <v>40</v>
      </c>
      <c r="EQ47" s="26" t="s">
        <v>40</v>
      </c>
      <c r="ES47" s="26" t="s">
        <v>40</v>
      </c>
      <c r="EU47" s="26" t="s">
        <v>40</v>
      </c>
      <c r="EW47" s="26" t="s">
        <v>40</v>
      </c>
      <c r="EY47" s="26" t="s">
        <v>40</v>
      </c>
      <c r="FA47" s="26" t="s">
        <v>40</v>
      </c>
      <c r="FC47" s="26" t="s">
        <v>40</v>
      </c>
      <c r="FE47" s="26" t="s">
        <v>40</v>
      </c>
      <c r="FG47" s="26" t="s">
        <v>40</v>
      </c>
      <c r="FI47" s="26" t="s">
        <v>40</v>
      </c>
      <c r="FK47" s="26" t="s">
        <v>40</v>
      </c>
      <c r="FM47" s="26" t="s">
        <v>40</v>
      </c>
      <c r="FO47" s="26" t="s">
        <v>40</v>
      </c>
      <c r="FQ47" s="26" t="s">
        <v>40</v>
      </c>
      <c r="FS47" s="26" t="s">
        <v>40</v>
      </c>
      <c r="FU47" s="26" t="s">
        <v>40</v>
      </c>
      <c r="FW47" s="26" t="s">
        <v>40</v>
      </c>
      <c r="FY47" s="26" t="s">
        <v>40</v>
      </c>
      <c r="GA47" s="26" t="s">
        <v>40</v>
      </c>
      <c r="GC47" s="26" t="s">
        <v>40</v>
      </c>
      <c r="GE47" s="26" t="s">
        <v>40</v>
      </c>
      <c r="GG47" s="26" t="s">
        <v>40</v>
      </c>
      <c r="GI47" s="26" t="s">
        <v>40</v>
      </c>
      <c r="GK47" s="26" t="s">
        <v>40</v>
      </c>
      <c r="GM47" s="26" t="s">
        <v>40</v>
      </c>
      <c r="GO47" s="26" t="s">
        <v>40</v>
      </c>
      <c r="GQ47" s="26" t="s">
        <v>40</v>
      </c>
      <c r="GS47" s="26" t="s">
        <v>40</v>
      </c>
      <c r="GU47" s="26" t="s">
        <v>40</v>
      </c>
      <c r="GW47" s="26" t="s">
        <v>40</v>
      </c>
      <c r="GY47" s="26" t="s">
        <v>40</v>
      </c>
      <c r="HA47" s="26" t="s">
        <v>40</v>
      </c>
      <c r="HC47" s="26" t="s">
        <v>40</v>
      </c>
    </row>
    <row r="48" spans="2:211" x14ac:dyDescent="0.2">
      <c r="B48" s="34"/>
      <c r="C48" s="25" t="s">
        <v>33</v>
      </c>
      <c r="E48" s="25" t="s">
        <v>34</v>
      </c>
      <c r="G48" s="25" t="s">
        <v>35</v>
      </c>
      <c r="H48" s="26"/>
      <c r="I48" s="25" t="s">
        <v>36</v>
      </c>
      <c r="J48" s="26" t="s">
        <v>40</v>
      </c>
      <c r="K48" s="25" t="s">
        <v>37</v>
      </c>
      <c r="L48" s="26" t="s">
        <v>40</v>
      </c>
      <c r="M48" s="25" t="s">
        <v>38</v>
      </c>
      <c r="N48" s="26" t="s">
        <v>40</v>
      </c>
      <c r="O48" s="25" t="s">
        <v>39</v>
      </c>
      <c r="Q48" s="25" t="s">
        <v>136</v>
      </c>
      <c r="S48" s="25" t="s">
        <v>137</v>
      </c>
      <c r="U48" s="25" t="s">
        <v>138</v>
      </c>
      <c r="W48" s="26" t="s">
        <v>40</v>
      </c>
      <c r="Y48" s="26" t="s">
        <v>40</v>
      </c>
      <c r="AA48" s="26" t="s">
        <v>40</v>
      </c>
      <c r="AC48" s="26" t="s">
        <v>40</v>
      </c>
      <c r="AE48" s="26" t="s">
        <v>40</v>
      </c>
      <c r="AG48" s="26" t="s">
        <v>40</v>
      </c>
      <c r="AI48" s="10" t="s">
        <v>40</v>
      </c>
      <c r="AK48" s="10" t="s">
        <v>40</v>
      </c>
      <c r="AM48" s="10" t="s">
        <v>40</v>
      </c>
      <c r="AO48" s="10" t="s">
        <v>40</v>
      </c>
      <c r="AQ48" s="10" t="s">
        <v>40</v>
      </c>
      <c r="AS48" s="10" t="s">
        <v>40</v>
      </c>
      <c r="AU48" s="10" t="s">
        <v>40</v>
      </c>
      <c r="AW48" s="10" t="s">
        <v>40</v>
      </c>
      <c r="AY48" s="10" t="s">
        <v>40</v>
      </c>
      <c r="BA48" s="10" t="s">
        <v>40</v>
      </c>
      <c r="BC48" s="10" t="s">
        <v>40</v>
      </c>
      <c r="BE48" s="10" t="s">
        <v>40</v>
      </c>
      <c r="BG48" s="10" t="s">
        <v>40</v>
      </c>
      <c r="BI48" s="10" t="s">
        <v>40</v>
      </c>
      <c r="BK48" s="10" t="s">
        <v>40</v>
      </c>
      <c r="BM48" s="10" t="s">
        <v>40</v>
      </c>
      <c r="BO48" s="10" t="s">
        <v>40</v>
      </c>
      <c r="BQ48" s="10" t="s">
        <v>40</v>
      </c>
      <c r="BS48" s="10" t="s">
        <v>40</v>
      </c>
      <c r="BU48" s="10" t="s">
        <v>40</v>
      </c>
      <c r="BW48" s="10" t="s">
        <v>40</v>
      </c>
      <c r="BY48" s="10" t="s">
        <v>40</v>
      </c>
      <c r="CA48" s="10" t="s">
        <v>40</v>
      </c>
      <c r="CC48" s="10" t="s">
        <v>40</v>
      </c>
      <c r="CE48" s="10" t="s">
        <v>40</v>
      </c>
      <c r="CG48" s="10" t="s">
        <v>40</v>
      </c>
      <c r="CI48" s="10" t="s">
        <v>40</v>
      </c>
      <c r="CK48" s="10" t="s">
        <v>40</v>
      </c>
      <c r="CM48" s="10" t="s">
        <v>40</v>
      </c>
      <c r="CO48" s="10" t="s">
        <v>40</v>
      </c>
      <c r="CQ48" s="10" t="s">
        <v>40</v>
      </c>
      <c r="CS48" s="10" t="s">
        <v>40</v>
      </c>
      <c r="CU48" s="10" t="s">
        <v>40</v>
      </c>
      <c r="CW48" s="10" t="s">
        <v>40</v>
      </c>
      <c r="CY48" s="10" t="s">
        <v>40</v>
      </c>
      <c r="DA48" s="10" t="s">
        <v>40</v>
      </c>
      <c r="DC48" s="10" t="s">
        <v>40</v>
      </c>
      <c r="DE48" s="10" t="s">
        <v>40</v>
      </c>
      <c r="DG48" s="10" t="s">
        <v>40</v>
      </c>
      <c r="DI48" s="10" t="s">
        <v>40</v>
      </c>
      <c r="DK48" s="10" t="s">
        <v>40</v>
      </c>
      <c r="DM48" s="10" t="s">
        <v>40</v>
      </c>
      <c r="DO48" s="10" t="s">
        <v>40</v>
      </c>
      <c r="DQ48" s="10" t="s">
        <v>40</v>
      </c>
      <c r="DS48" s="10" t="s">
        <v>40</v>
      </c>
      <c r="DU48" s="10" t="s">
        <v>40</v>
      </c>
      <c r="DW48" s="10" t="s">
        <v>40</v>
      </c>
      <c r="DY48" s="10" t="s">
        <v>40</v>
      </c>
      <c r="EA48" s="10" t="s">
        <v>40</v>
      </c>
      <c r="EC48" s="10" t="s">
        <v>40</v>
      </c>
      <c r="EE48" s="10" t="s">
        <v>40</v>
      </c>
      <c r="EG48" s="10" t="s">
        <v>40</v>
      </c>
      <c r="EI48" s="10" t="s">
        <v>40</v>
      </c>
      <c r="EK48" s="10" t="s">
        <v>40</v>
      </c>
      <c r="EM48" s="10" t="s">
        <v>40</v>
      </c>
      <c r="EO48" s="10" t="s">
        <v>40</v>
      </c>
      <c r="EQ48" s="10" t="s">
        <v>40</v>
      </c>
      <c r="ES48" s="10" t="s">
        <v>40</v>
      </c>
      <c r="EU48" s="10" t="s">
        <v>40</v>
      </c>
      <c r="EW48" s="10" t="s">
        <v>40</v>
      </c>
      <c r="EY48" s="10" t="s">
        <v>40</v>
      </c>
      <c r="FA48" s="10" t="s">
        <v>40</v>
      </c>
      <c r="FC48" s="10" t="s">
        <v>40</v>
      </c>
      <c r="FE48" s="10" t="s">
        <v>40</v>
      </c>
      <c r="FG48" s="10" t="s">
        <v>40</v>
      </c>
      <c r="FI48" s="10" t="s">
        <v>40</v>
      </c>
      <c r="FK48" s="10" t="s">
        <v>40</v>
      </c>
      <c r="FM48" s="10" t="s">
        <v>40</v>
      </c>
      <c r="FO48" s="10" t="s">
        <v>40</v>
      </c>
      <c r="FQ48" s="10" t="s">
        <v>40</v>
      </c>
      <c r="FS48" s="10" t="s">
        <v>40</v>
      </c>
      <c r="FU48" s="10" t="s">
        <v>40</v>
      </c>
      <c r="FW48" s="10" t="s">
        <v>40</v>
      </c>
      <c r="FY48" s="10" t="s">
        <v>40</v>
      </c>
      <c r="GA48" s="10" t="s">
        <v>40</v>
      </c>
      <c r="GC48" s="10" t="s">
        <v>40</v>
      </c>
      <c r="GE48" s="10" t="s">
        <v>40</v>
      </c>
      <c r="GG48" s="10" t="s">
        <v>40</v>
      </c>
      <c r="GI48" s="10" t="s">
        <v>40</v>
      </c>
      <c r="GK48" s="10" t="s">
        <v>40</v>
      </c>
      <c r="GM48" s="10" t="s">
        <v>40</v>
      </c>
      <c r="GO48" s="10" t="s">
        <v>40</v>
      </c>
      <c r="GQ48" s="10" t="s">
        <v>40</v>
      </c>
      <c r="GS48" s="10" t="s">
        <v>40</v>
      </c>
      <c r="GU48" s="10" t="s">
        <v>40</v>
      </c>
      <c r="GW48" s="10" t="s">
        <v>40</v>
      </c>
      <c r="GY48" s="10" t="s">
        <v>40</v>
      </c>
      <c r="HA48" s="10" t="s">
        <v>40</v>
      </c>
      <c r="HC48" s="10" t="s">
        <v>40</v>
      </c>
    </row>
    <row r="49" spans="2:211" x14ac:dyDescent="0.2">
      <c r="B49" s="40"/>
      <c r="Y49" s="10" t="s">
        <v>40</v>
      </c>
      <c r="AA49" s="10" t="s">
        <v>40</v>
      </c>
      <c r="AC49" s="10" t="s">
        <v>40</v>
      </c>
      <c r="AE49" s="10" t="s">
        <v>40</v>
      </c>
    </row>
    <row r="50" spans="2:211" x14ac:dyDescent="0.2">
      <c r="B50" s="41" t="s">
        <v>41</v>
      </c>
      <c r="C50" s="25">
        <v>3360.47</v>
      </c>
      <c r="E50" s="25">
        <v>3374.5219560557339</v>
      </c>
      <c r="G50" s="25">
        <v>3388.6326709960863</v>
      </c>
      <c r="H50" s="26"/>
      <c r="I50" s="25">
        <v>3402.8023905239684</v>
      </c>
      <c r="J50" s="26" t="s">
        <v>40</v>
      </c>
      <c r="K50" s="25">
        <v>3417.0313613697103</v>
      </c>
      <c r="L50" s="26" t="s">
        <v>40</v>
      </c>
      <c r="M50" s="25">
        <v>3431.3198312953555</v>
      </c>
      <c r="N50" s="26" t="s">
        <v>40</v>
      </c>
      <c r="O50" s="25">
        <v>3445.6680490989756</v>
      </c>
      <c r="Q50" s="25">
        <v>3460.0762646190028</v>
      </c>
      <c r="S50" s="25">
        <v>3474.54472873858</v>
      </c>
      <c r="U50" s="25">
        <v>3489.0736933899284</v>
      </c>
      <c r="W50" s="26" t="s">
        <v>40</v>
      </c>
      <c r="Y50" s="26" t="s">
        <v>40</v>
      </c>
      <c r="AA50" s="26" t="s">
        <v>40</v>
      </c>
      <c r="AC50" s="26" t="s">
        <v>40</v>
      </c>
      <c r="AE50" s="26" t="s">
        <v>40</v>
      </c>
      <c r="AG50" s="26" t="s">
        <v>40</v>
      </c>
      <c r="AI50" s="26" t="s">
        <v>40</v>
      </c>
      <c r="AK50" s="26" t="s">
        <v>40</v>
      </c>
      <c r="AM50" s="26" t="s">
        <v>40</v>
      </c>
      <c r="AO50" s="26" t="s">
        <v>40</v>
      </c>
      <c r="AQ50" s="26" t="s">
        <v>40</v>
      </c>
      <c r="AS50" s="26" t="s">
        <v>40</v>
      </c>
      <c r="AU50" s="26" t="s">
        <v>40</v>
      </c>
      <c r="AW50" s="26" t="s">
        <v>40</v>
      </c>
      <c r="AY50" s="26" t="s">
        <v>40</v>
      </c>
      <c r="BA50" s="26" t="s">
        <v>40</v>
      </c>
      <c r="BC50" s="26" t="s">
        <v>40</v>
      </c>
      <c r="BE50" s="26" t="s">
        <v>40</v>
      </c>
      <c r="BG50" s="26" t="s">
        <v>40</v>
      </c>
      <c r="BI50" s="26" t="s">
        <v>40</v>
      </c>
      <c r="BK50" s="26" t="s">
        <v>40</v>
      </c>
      <c r="BM50" s="26" t="s">
        <v>40</v>
      </c>
      <c r="BO50" s="26" t="s">
        <v>40</v>
      </c>
      <c r="BQ50" s="26" t="s">
        <v>40</v>
      </c>
      <c r="BS50" s="26" t="s">
        <v>40</v>
      </c>
      <c r="BU50" s="26" t="s">
        <v>40</v>
      </c>
      <c r="BW50" s="26" t="s">
        <v>40</v>
      </c>
      <c r="BY50" s="26" t="s">
        <v>40</v>
      </c>
      <c r="CA50" s="26" t="s">
        <v>40</v>
      </c>
      <c r="CC50" s="26" t="s">
        <v>40</v>
      </c>
      <c r="CE50" s="26" t="s">
        <v>40</v>
      </c>
      <c r="CG50" s="26" t="s">
        <v>40</v>
      </c>
      <c r="CI50" s="26" t="s">
        <v>40</v>
      </c>
      <c r="CK50" s="26" t="s">
        <v>40</v>
      </c>
      <c r="CM50" s="26" t="s">
        <v>40</v>
      </c>
      <c r="CO50" s="26" t="s">
        <v>40</v>
      </c>
      <c r="CQ50" s="26" t="s">
        <v>40</v>
      </c>
      <c r="CS50" s="26" t="s">
        <v>40</v>
      </c>
      <c r="CU50" s="26" t="s">
        <v>40</v>
      </c>
      <c r="CW50" s="26" t="s">
        <v>40</v>
      </c>
      <c r="CY50" s="26" t="s">
        <v>40</v>
      </c>
      <c r="DA50" s="26" t="s">
        <v>40</v>
      </c>
      <c r="DC50" s="26" t="s">
        <v>40</v>
      </c>
      <c r="DE50" s="26" t="s">
        <v>40</v>
      </c>
      <c r="DG50" s="26" t="s">
        <v>40</v>
      </c>
      <c r="DI50" s="26" t="s">
        <v>40</v>
      </c>
      <c r="DK50" s="26" t="s">
        <v>40</v>
      </c>
      <c r="DM50" s="26" t="s">
        <v>40</v>
      </c>
      <c r="DO50" s="26" t="s">
        <v>40</v>
      </c>
      <c r="DQ50" s="26" t="s">
        <v>40</v>
      </c>
      <c r="DS50" s="26" t="s">
        <v>40</v>
      </c>
      <c r="DU50" s="26" t="s">
        <v>40</v>
      </c>
      <c r="DW50" s="26" t="s">
        <v>40</v>
      </c>
      <c r="DY50" s="26" t="s">
        <v>40</v>
      </c>
      <c r="EA50" s="26" t="s">
        <v>40</v>
      </c>
      <c r="EC50" s="26" t="s">
        <v>40</v>
      </c>
      <c r="EE50" s="26" t="s">
        <v>40</v>
      </c>
      <c r="EG50" s="26" t="s">
        <v>40</v>
      </c>
      <c r="EI50" s="26" t="s">
        <v>40</v>
      </c>
      <c r="EK50" s="26" t="s">
        <v>40</v>
      </c>
      <c r="EM50" s="26" t="s">
        <v>40</v>
      </c>
      <c r="EO50" s="26" t="s">
        <v>40</v>
      </c>
      <c r="EQ50" s="26" t="s">
        <v>40</v>
      </c>
      <c r="ES50" s="26" t="s">
        <v>40</v>
      </c>
      <c r="EU50" s="26" t="s">
        <v>40</v>
      </c>
      <c r="EW50" s="26" t="s">
        <v>40</v>
      </c>
      <c r="EY50" s="26" t="s">
        <v>40</v>
      </c>
      <c r="FA50" s="26" t="s">
        <v>40</v>
      </c>
      <c r="FC50" s="26" t="s">
        <v>40</v>
      </c>
      <c r="FE50" s="26" t="s">
        <v>40</v>
      </c>
      <c r="FG50" s="26" t="s">
        <v>40</v>
      </c>
      <c r="FI50" s="26" t="s">
        <v>40</v>
      </c>
      <c r="FK50" s="26" t="s">
        <v>40</v>
      </c>
      <c r="FM50" s="26" t="s">
        <v>40</v>
      </c>
      <c r="FO50" s="26" t="s">
        <v>40</v>
      </c>
      <c r="FQ50" s="26" t="s">
        <v>40</v>
      </c>
      <c r="FS50" s="26" t="s">
        <v>40</v>
      </c>
      <c r="FU50" s="26" t="s">
        <v>40</v>
      </c>
      <c r="FW50" s="26" t="s">
        <v>40</v>
      </c>
      <c r="FY50" s="26" t="s">
        <v>40</v>
      </c>
      <c r="GA50" s="26" t="s">
        <v>40</v>
      </c>
      <c r="GC50" s="26" t="s">
        <v>40</v>
      </c>
      <c r="GE50" s="26" t="s">
        <v>40</v>
      </c>
      <c r="GG50" s="26" t="s">
        <v>40</v>
      </c>
      <c r="GI50" s="26" t="s">
        <v>40</v>
      </c>
      <c r="GK50" s="26" t="s">
        <v>40</v>
      </c>
      <c r="GM50" s="26" t="s">
        <v>40</v>
      </c>
      <c r="GO50" s="26" t="s">
        <v>40</v>
      </c>
      <c r="GQ50" s="26" t="s">
        <v>40</v>
      </c>
      <c r="GS50" s="26" t="s">
        <v>40</v>
      </c>
      <c r="GU50" s="26" t="s">
        <v>40</v>
      </c>
      <c r="GW50" s="26" t="s">
        <v>40</v>
      </c>
      <c r="GY50" s="26" t="s">
        <v>40</v>
      </c>
      <c r="HA50" s="26" t="s">
        <v>40</v>
      </c>
      <c r="HC50" s="26" t="s">
        <v>40</v>
      </c>
    </row>
    <row r="51" spans="2:211" x14ac:dyDescent="0.2">
      <c r="B51" s="35" t="s">
        <v>42</v>
      </c>
      <c r="C51" s="27">
        <v>18.839300068556909</v>
      </c>
      <c r="E51" s="24">
        <v>26.132655225096528</v>
      </c>
      <c r="G51" s="24">
        <v>35.298393567843775</v>
      </c>
      <c r="H51" s="10"/>
      <c r="I51" s="24">
        <v>46.307453360983345</v>
      </c>
      <c r="J51" s="10" t="s">
        <v>40</v>
      </c>
      <c r="K51" s="24">
        <v>58.877914437721238</v>
      </c>
      <c r="L51" s="10" t="s">
        <v>40</v>
      </c>
      <c r="M51" s="24">
        <v>72.489746293765634</v>
      </c>
      <c r="N51" s="10" t="s">
        <v>40</v>
      </c>
      <c r="O51" s="24">
        <v>86.545523542529693</v>
      </c>
      <c r="Q51" s="24">
        <v>100.66127304601447</v>
      </c>
      <c r="S51" s="24">
        <v>114.83724568514577</v>
      </c>
      <c r="U51" s="24">
        <v>129.07369338992839</v>
      </c>
      <c r="W51" s="10" t="s">
        <v>40</v>
      </c>
      <c r="Y51" s="10" t="s">
        <v>40</v>
      </c>
      <c r="AA51" s="26" t="s">
        <v>40</v>
      </c>
      <c r="AC51" s="26" t="s">
        <v>40</v>
      </c>
      <c r="AE51" s="26" t="s">
        <v>40</v>
      </c>
      <c r="AG51" s="10" t="s">
        <v>40</v>
      </c>
      <c r="AI51" s="10" t="s">
        <v>40</v>
      </c>
      <c r="AK51" s="10" t="s">
        <v>40</v>
      </c>
      <c r="AM51" s="10" t="s">
        <v>40</v>
      </c>
      <c r="AO51" s="10" t="s">
        <v>40</v>
      </c>
      <c r="AQ51" s="10" t="s">
        <v>40</v>
      </c>
      <c r="AS51" s="10" t="s">
        <v>40</v>
      </c>
      <c r="AU51" s="10" t="s">
        <v>40</v>
      </c>
      <c r="AW51" s="10" t="s">
        <v>40</v>
      </c>
      <c r="AY51" s="10" t="s">
        <v>40</v>
      </c>
      <c r="BA51" s="10" t="s">
        <v>40</v>
      </c>
      <c r="BC51" s="10" t="s">
        <v>40</v>
      </c>
      <c r="BE51" s="10" t="s">
        <v>40</v>
      </c>
      <c r="BG51" s="10" t="s">
        <v>40</v>
      </c>
      <c r="BI51" s="10" t="s">
        <v>40</v>
      </c>
      <c r="BK51" s="10" t="s">
        <v>40</v>
      </c>
      <c r="BM51" s="10" t="s">
        <v>40</v>
      </c>
      <c r="BO51" s="10" t="s">
        <v>40</v>
      </c>
      <c r="BQ51" s="10" t="s">
        <v>40</v>
      </c>
      <c r="BS51" s="10" t="s">
        <v>40</v>
      </c>
      <c r="BU51" s="10" t="s">
        <v>40</v>
      </c>
      <c r="BW51" s="10" t="s">
        <v>40</v>
      </c>
      <c r="BY51" s="10" t="s">
        <v>40</v>
      </c>
      <c r="CA51" s="10" t="s">
        <v>40</v>
      </c>
      <c r="CC51" s="10" t="s">
        <v>40</v>
      </c>
      <c r="CE51" s="10" t="s">
        <v>40</v>
      </c>
      <c r="CG51" s="10" t="s">
        <v>40</v>
      </c>
      <c r="CI51" s="10" t="s">
        <v>40</v>
      </c>
      <c r="CK51" s="10" t="s">
        <v>40</v>
      </c>
      <c r="CM51" s="10" t="s">
        <v>40</v>
      </c>
      <c r="CO51" s="10" t="s">
        <v>40</v>
      </c>
      <c r="CQ51" s="10" t="s">
        <v>40</v>
      </c>
      <c r="CS51" s="10" t="s">
        <v>40</v>
      </c>
      <c r="CU51" s="10" t="s">
        <v>40</v>
      </c>
      <c r="CW51" s="10" t="s">
        <v>40</v>
      </c>
      <c r="CY51" s="10" t="s">
        <v>40</v>
      </c>
      <c r="DA51" s="10" t="s">
        <v>40</v>
      </c>
      <c r="DC51" s="10" t="s">
        <v>40</v>
      </c>
      <c r="DE51" s="10" t="s">
        <v>40</v>
      </c>
      <c r="DG51" s="10" t="s">
        <v>40</v>
      </c>
      <c r="DI51" s="10" t="s">
        <v>40</v>
      </c>
      <c r="DK51" s="10" t="s">
        <v>40</v>
      </c>
      <c r="DM51" s="10" t="s">
        <v>40</v>
      </c>
      <c r="DO51" s="10" t="s">
        <v>40</v>
      </c>
      <c r="DQ51" s="10" t="s">
        <v>40</v>
      </c>
      <c r="DS51" s="10" t="s">
        <v>40</v>
      </c>
      <c r="DU51" s="10" t="s">
        <v>40</v>
      </c>
      <c r="DW51" s="10" t="s">
        <v>40</v>
      </c>
      <c r="DY51" s="10" t="s">
        <v>40</v>
      </c>
      <c r="EA51" s="10" t="s">
        <v>40</v>
      </c>
      <c r="EC51" s="10" t="s">
        <v>40</v>
      </c>
      <c r="EE51" s="10" t="s">
        <v>40</v>
      </c>
      <c r="EG51" s="10" t="s">
        <v>40</v>
      </c>
      <c r="EI51" s="10" t="s">
        <v>40</v>
      </c>
      <c r="EK51" s="10" t="s">
        <v>40</v>
      </c>
      <c r="EM51" s="10" t="s">
        <v>40</v>
      </c>
      <c r="EO51" s="10" t="s">
        <v>40</v>
      </c>
      <c r="EQ51" s="10" t="s">
        <v>40</v>
      </c>
      <c r="ES51" s="10" t="s">
        <v>40</v>
      </c>
      <c r="EU51" s="10" t="s">
        <v>40</v>
      </c>
      <c r="EW51" s="10" t="s">
        <v>40</v>
      </c>
      <c r="EY51" s="10" t="s">
        <v>40</v>
      </c>
      <c r="FA51" s="10" t="s">
        <v>40</v>
      </c>
      <c r="FC51" s="10" t="s">
        <v>40</v>
      </c>
      <c r="FE51" s="10" t="s">
        <v>40</v>
      </c>
      <c r="FG51" s="10" t="s">
        <v>40</v>
      </c>
      <c r="FI51" s="10" t="s">
        <v>40</v>
      </c>
      <c r="FK51" s="10" t="s">
        <v>40</v>
      </c>
      <c r="FM51" s="10" t="s">
        <v>40</v>
      </c>
      <c r="FO51" s="10" t="s">
        <v>40</v>
      </c>
      <c r="FQ51" s="10" t="s">
        <v>40</v>
      </c>
      <c r="FS51" s="10" t="s">
        <v>40</v>
      </c>
      <c r="FU51" s="10" t="s">
        <v>40</v>
      </c>
      <c r="FW51" s="10" t="s">
        <v>40</v>
      </c>
      <c r="FY51" s="10" t="s">
        <v>40</v>
      </c>
      <c r="GA51" s="10" t="s">
        <v>40</v>
      </c>
      <c r="GC51" s="10" t="s">
        <v>40</v>
      </c>
      <c r="GE51" s="10" t="s">
        <v>40</v>
      </c>
      <c r="GG51" s="10" t="s">
        <v>40</v>
      </c>
      <c r="GI51" s="10" t="s">
        <v>40</v>
      </c>
      <c r="GK51" s="10" t="s">
        <v>40</v>
      </c>
      <c r="GM51" s="10" t="s">
        <v>40</v>
      </c>
      <c r="GO51" s="10" t="s">
        <v>40</v>
      </c>
      <c r="GQ51" s="10" t="s">
        <v>40</v>
      </c>
      <c r="GS51" s="10" t="s">
        <v>40</v>
      </c>
      <c r="GU51" s="10" t="s">
        <v>40</v>
      </c>
      <c r="GW51" s="10" t="s">
        <v>40</v>
      </c>
      <c r="GY51" s="10" t="s">
        <v>40</v>
      </c>
      <c r="HA51" s="10" t="s">
        <v>40</v>
      </c>
      <c r="HC51" s="10" t="s">
        <v>40</v>
      </c>
    </row>
    <row r="52" spans="2:211" x14ac:dyDescent="0.2">
      <c r="B52" s="34"/>
      <c r="AA52" s="10" t="s">
        <v>40</v>
      </c>
      <c r="AC52" s="10" t="s">
        <v>40</v>
      </c>
      <c r="AE52" s="10" t="s">
        <v>40</v>
      </c>
    </row>
    <row r="53" spans="2:211" x14ac:dyDescent="0.2">
      <c r="B53" s="34"/>
      <c r="E53" s="25">
        <v>3346.476558149111</v>
      </c>
      <c r="G53" s="25">
        <v>3360.47</v>
      </c>
      <c r="H53" s="26"/>
      <c r="I53" s="25">
        <v>3374.5219560557339</v>
      </c>
      <c r="J53" s="26" t="s">
        <v>40</v>
      </c>
      <c r="K53" s="25">
        <v>3388.6326709960863</v>
      </c>
      <c r="L53" s="26" t="s">
        <v>40</v>
      </c>
      <c r="M53" s="25">
        <v>3402.8023905239684</v>
      </c>
      <c r="N53" s="26" t="s">
        <v>40</v>
      </c>
      <c r="O53" s="25">
        <v>3417.0313613697103</v>
      </c>
      <c r="Q53" s="25">
        <v>3431.3198312953555</v>
      </c>
      <c r="S53" s="25">
        <v>3445.6680490989756</v>
      </c>
      <c r="U53" s="25">
        <v>3460.0762646190028</v>
      </c>
      <c r="W53" s="26" t="s">
        <v>40</v>
      </c>
      <c r="Y53" s="26" t="s">
        <v>40</v>
      </c>
      <c r="AA53" s="26" t="s">
        <v>40</v>
      </c>
      <c r="AC53" s="26" t="s">
        <v>40</v>
      </c>
      <c r="AE53" s="26" t="s">
        <v>40</v>
      </c>
      <c r="AG53" s="26" t="s">
        <v>40</v>
      </c>
      <c r="AI53" s="26" t="s">
        <v>40</v>
      </c>
      <c r="AK53" s="26" t="s">
        <v>40</v>
      </c>
      <c r="AM53" s="26" t="s">
        <v>40</v>
      </c>
      <c r="AO53" s="26" t="s">
        <v>40</v>
      </c>
      <c r="AQ53" s="26" t="s">
        <v>40</v>
      </c>
      <c r="AS53" s="26" t="s">
        <v>40</v>
      </c>
      <c r="AU53" s="26" t="s">
        <v>40</v>
      </c>
      <c r="AW53" s="26" t="s">
        <v>40</v>
      </c>
      <c r="AY53" s="26" t="s">
        <v>40</v>
      </c>
      <c r="BA53" s="26" t="s">
        <v>40</v>
      </c>
      <c r="BC53" s="26" t="s">
        <v>40</v>
      </c>
      <c r="BE53" s="26" t="s">
        <v>40</v>
      </c>
      <c r="BG53" s="26" t="s">
        <v>40</v>
      </c>
      <c r="BI53" s="26" t="s">
        <v>40</v>
      </c>
      <c r="BK53" s="26" t="s">
        <v>40</v>
      </c>
      <c r="BM53" s="26" t="s">
        <v>40</v>
      </c>
      <c r="BO53" s="26" t="s">
        <v>40</v>
      </c>
      <c r="BQ53" s="26" t="s">
        <v>40</v>
      </c>
      <c r="BS53" s="26" t="s">
        <v>40</v>
      </c>
      <c r="BU53" s="26" t="s">
        <v>40</v>
      </c>
      <c r="BW53" s="26" t="s">
        <v>40</v>
      </c>
      <c r="BY53" s="26" t="s">
        <v>40</v>
      </c>
      <c r="CA53" s="26" t="s">
        <v>40</v>
      </c>
      <c r="CC53" s="26" t="s">
        <v>40</v>
      </c>
      <c r="CE53" s="26" t="s">
        <v>40</v>
      </c>
      <c r="CG53" s="26" t="s">
        <v>40</v>
      </c>
      <c r="CI53" s="26" t="s">
        <v>40</v>
      </c>
      <c r="CK53" s="26" t="s">
        <v>40</v>
      </c>
      <c r="CM53" s="26" t="s">
        <v>40</v>
      </c>
      <c r="CO53" s="26" t="s">
        <v>40</v>
      </c>
      <c r="CQ53" s="26" t="s">
        <v>40</v>
      </c>
      <c r="CS53" s="26" t="s">
        <v>40</v>
      </c>
      <c r="CU53" s="26" t="s">
        <v>40</v>
      </c>
      <c r="CW53" s="26" t="s">
        <v>40</v>
      </c>
      <c r="CY53" s="26" t="s">
        <v>40</v>
      </c>
      <c r="DA53" s="26" t="s">
        <v>40</v>
      </c>
      <c r="DC53" s="26" t="s">
        <v>40</v>
      </c>
      <c r="DE53" s="26" t="s">
        <v>40</v>
      </c>
      <c r="DG53" s="26" t="s">
        <v>40</v>
      </c>
      <c r="DI53" s="26" t="s">
        <v>40</v>
      </c>
      <c r="DK53" s="26" t="s">
        <v>40</v>
      </c>
      <c r="DM53" s="26" t="s">
        <v>40</v>
      </c>
      <c r="DO53" s="26" t="s">
        <v>40</v>
      </c>
      <c r="DQ53" s="26" t="s">
        <v>40</v>
      </c>
      <c r="DS53" s="26" t="s">
        <v>40</v>
      </c>
      <c r="DU53" s="26" t="s">
        <v>40</v>
      </c>
      <c r="DW53" s="26" t="s">
        <v>40</v>
      </c>
      <c r="DY53" s="26" t="s">
        <v>40</v>
      </c>
      <c r="EA53" s="26" t="s">
        <v>40</v>
      </c>
      <c r="EC53" s="26" t="s">
        <v>40</v>
      </c>
      <c r="EE53" s="26" t="s">
        <v>40</v>
      </c>
      <c r="EG53" s="26" t="s">
        <v>40</v>
      </c>
      <c r="EI53" s="26" t="s">
        <v>40</v>
      </c>
      <c r="EK53" s="26" t="s">
        <v>40</v>
      </c>
      <c r="EM53" s="26" t="s">
        <v>40</v>
      </c>
      <c r="EO53" s="26" t="s">
        <v>40</v>
      </c>
      <c r="EQ53" s="26" t="s">
        <v>40</v>
      </c>
      <c r="ES53" s="26" t="s">
        <v>40</v>
      </c>
      <c r="EU53" s="26" t="s">
        <v>40</v>
      </c>
      <c r="EW53" s="26" t="s">
        <v>40</v>
      </c>
      <c r="EY53" s="26" t="s">
        <v>40</v>
      </c>
      <c r="FA53" s="26" t="s">
        <v>40</v>
      </c>
      <c r="FC53" s="26" t="s">
        <v>40</v>
      </c>
      <c r="FE53" s="26" t="s">
        <v>40</v>
      </c>
      <c r="FG53" s="26" t="s">
        <v>40</v>
      </c>
      <c r="FI53" s="26" t="s">
        <v>40</v>
      </c>
      <c r="FK53" s="26" t="s">
        <v>40</v>
      </c>
      <c r="FM53" s="26" t="s">
        <v>40</v>
      </c>
      <c r="FO53" s="26" t="s">
        <v>40</v>
      </c>
      <c r="FQ53" s="26" t="s">
        <v>40</v>
      </c>
      <c r="FS53" s="26" t="s">
        <v>40</v>
      </c>
      <c r="FU53" s="26" t="s">
        <v>40</v>
      </c>
      <c r="FW53" s="26" t="s">
        <v>40</v>
      </c>
      <c r="FY53" s="26" t="s">
        <v>40</v>
      </c>
      <c r="GA53" s="26" t="s">
        <v>40</v>
      </c>
      <c r="GC53" s="26" t="s">
        <v>40</v>
      </c>
      <c r="GE53" s="26" t="s">
        <v>40</v>
      </c>
      <c r="GG53" s="26" t="s">
        <v>40</v>
      </c>
      <c r="GI53" s="26" t="s">
        <v>40</v>
      </c>
      <c r="GK53" s="26" t="s">
        <v>40</v>
      </c>
      <c r="GM53" s="26" t="s">
        <v>40</v>
      </c>
      <c r="GO53" s="26" t="s">
        <v>40</v>
      </c>
      <c r="GQ53" s="26" t="s">
        <v>40</v>
      </c>
      <c r="GS53" s="26" t="s">
        <v>40</v>
      </c>
      <c r="GU53" s="26" t="s">
        <v>40</v>
      </c>
      <c r="GW53" s="26" t="s">
        <v>40</v>
      </c>
      <c r="GY53" s="26" t="s">
        <v>40</v>
      </c>
      <c r="HA53" s="26" t="s">
        <v>40</v>
      </c>
      <c r="HC53" s="26" t="s">
        <v>40</v>
      </c>
    </row>
    <row r="54" spans="2:211" x14ac:dyDescent="0.2">
      <c r="B54" s="34"/>
      <c r="E54" s="24">
        <v>11.270128445155684</v>
      </c>
      <c r="G54" s="24">
        <v>16.6207275659918</v>
      </c>
      <c r="H54" s="10"/>
      <c r="I54" s="24">
        <v>23.874216255487109</v>
      </c>
      <c r="J54" s="10" t="s">
        <v>40</v>
      </c>
      <c r="K54" s="24">
        <v>33.264064437091783</v>
      </c>
      <c r="L54" s="10" t="s">
        <v>40</v>
      </c>
      <c r="M54" s="24">
        <v>44.755526139642427</v>
      </c>
      <c r="N54" s="10" t="s">
        <v>40</v>
      </c>
      <c r="O54" s="24">
        <v>57.908835813264346</v>
      </c>
      <c r="Q54" s="24">
        <v>71.904839722367015</v>
      </c>
      <c r="S54" s="24">
        <v>85.960566045541526</v>
      </c>
      <c r="U54" s="24">
        <v>100.07626461900281</v>
      </c>
      <c r="W54" s="10" t="s">
        <v>40</v>
      </c>
      <c r="Y54" s="10" t="s">
        <v>40</v>
      </c>
      <c r="AA54" s="10" t="s">
        <v>40</v>
      </c>
      <c r="AC54" s="26" t="s">
        <v>40</v>
      </c>
      <c r="AE54" s="26" t="s">
        <v>40</v>
      </c>
      <c r="AG54" s="10" t="s">
        <v>40</v>
      </c>
      <c r="AI54" s="10" t="s">
        <v>40</v>
      </c>
      <c r="AK54" s="10" t="s">
        <v>40</v>
      </c>
      <c r="AM54" s="10" t="s">
        <v>40</v>
      </c>
      <c r="AO54" s="10" t="s">
        <v>40</v>
      </c>
      <c r="AQ54" s="10" t="s">
        <v>40</v>
      </c>
      <c r="AS54" s="10" t="s">
        <v>40</v>
      </c>
      <c r="AU54" s="10" t="s">
        <v>40</v>
      </c>
      <c r="AW54" s="10" t="s">
        <v>40</v>
      </c>
      <c r="AY54" s="10" t="s">
        <v>40</v>
      </c>
      <c r="BA54" s="10" t="s">
        <v>40</v>
      </c>
      <c r="BC54" s="10" t="s">
        <v>40</v>
      </c>
      <c r="BE54" s="10" t="s">
        <v>40</v>
      </c>
      <c r="BG54" s="10" t="s">
        <v>40</v>
      </c>
      <c r="BI54" s="10" t="s">
        <v>40</v>
      </c>
      <c r="BK54" s="10" t="s">
        <v>40</v>
      </c>
      <c r="BM54" s="10" t="s">
        <v>40</v>
      </c>
      <c r="BO54" s="10" t="s">
        <v>40</v>
      </c>
      <c r="BQ54" s="10" t="s">
        <v>40</v>
      </c>
      <c r="BS54" s="10" t="s">
        <v>40</v>
      </c>
      <c r="BU54" s="10" t="s">
        <v>40</v>
      </c>
      <c r="BW54" s="10" t="s">
        <v>40</v>
      </c>
      <c r="BY54" s="10" t="s">
        <v>40</v>
      </c>
      <c r="CA54" s="10" t="s">
        <v>40</v>
      </c>
      <c r="CC54" s="10" t="s">
        <v>40</v>
      </c>
      <c r="CE54" s="10" t="s">
        <v>40</v>
      </c>
      <c r="CG54" s="10" t="s">
        <v>40</v>
      </c>
      <c r="CI54" s="10" t="s">
        <v>40</v>
      </c>
      <c r="CK54" s="10" t="s">
        <v>40</v>
      </c>
      <c r="CM54" s="10" t="s">
        <v>40</v>
      </c>
      <c r="CO54" s="10" t="s">
        <v>40</v>
      </c>
      <c r="CQ54" s="10" t="s">
        <v>40</v>
      </c>
      <c r="CS54" s="10" t="s">
        <v>40</v>
      </c>
      <c r="CU54" s="10" t="s">
        <v>40</v>
      </c>
      <c r="CW54" s="10" t="s">
        <v>40</v>
      </c>
      <c r="CY54" s="10" t="s">
        <v>40</v>
      </c>
      <c r="DA54" s="10" t="s">
        <v>40</v>
      </c>
      <c r="DC54" s="10" t="s">
        <v>40</v>
      </c>
      <c r="DE54" s="10" t="s">
        <v>40</v>
      </c>
      <c r="DG54" s="10" t="s">
        <v>40</v>
      </c>
      <c r="DI54" s="10" t="s">
        <v>40</v>
      </c>
      <c r="DK54" s="10" t="s">
        <v>40</v>
      </c>
      <c r="DM54" s="10" t="s">
        <v>40</v>
      </c>
      <c r="DO54" s="10" t="s">
        <v>40</v>
      </c>
      <c r="DQ54" s="10" t="s">
        <v>40</v>
      </c>
      <c r="DS54" s="10" t="s">
        <v>40</v>
      </c>
      <c r="DU54" s="10" t="s">
        <v>40</v>
      </c>
      <c r="DW54" s="10" t="s">
        <v>40</v>
      </c>
      <c r="DY54" s="10" t="s">
        <v>40</v>
      </c>
      <c r="EA54" s="10" t="s">
        <v>40</v>
      </c>
      <c r="EC54" s="10" t="s">
        <v>40</v>
      </c>
      <c r="EE54" s="10" t="s">
        <v>40</v>
      </c>
      <c r="EG54" s="10" t="s">
        <v>40</v>
      </c>
      <c r="EI54" s="10" t="s">
        <v>40</v>
      </c>
      <c r="EK54" s="10" t="s">
        <v>40</v>
      </c>
      <c r="EM54" s="10" t="s">
        <v>40</v>
      </c>
      <c r="EO54" s="10" t="s">
        <v>40</v>
      </c>
      <c r="EQ54" s="10" t="s">
        <v>40</v>
      </c>
      <c r="ES54" s="10" t="s">
        <v>40</v>
      </c>
      <c r="EU54" s="10" t="s">
        <v>40</v>
      </c>
      <c r="EW54" s="10" t="s">
        <v>40</v>
      </c>
      <c r="EY54" s="10" t="s">
        <v>40</v>
      </c>
      <c r="FA54" s="10" t="s">
        <v>40</v>
      </c>
      <c r="FC54" s="10" t="s">
        <v>40</v>
      </c>
      <c r="FE54" s="10" t="s">
        <v>40</v>
      </c>
      <c r="FG54" s="10" t="s">
        <v>40</v>
      </c>
      <c r="FI54" s="10" t="s">
        <v>40</v>
      </c>
      <c r="FK54" s="10" t="s">
        <v>40</v>
      </c>
      <c r="FM54" s="10" t="s">
        <v>40</v>
      </c>
      <c r="FO54" s="10" t="s">
        <v>40</v>
      </c>
      <c r="FQ54" s="10" t="s">
        <v>40</v>
      </c>
      <c r="FS54" s="10" t="s">
        <v>40</v>
      </c>
      <c r="FU54" s="10" t="s">
        <v>40</v>
      </c>
      <c r="FW54" s="10" t="s">
        <v>40</v>
      </c>
      <c r="FY54" s="10" t="s">
        <v>40</v>
      </c>
      <c r="GA54" s="10" t="s">
        <v>40</v>
      </c>
      <c r="GC54" s="10" t="s">
        <v>40</v>
      </c>
      <c r="GE54" s="10" t="s">
        <v>40</v>
      </c>
      <c r="GG54" s="10" t="s">
        <v>40</v>
      </c>
      <c r="GI54" s="10" t="s">
        <v>40</v>
      </c>
      <c r="GK54" s="10" t="s">
        <v>40</v>
      </c>
      <c r="GM54" s="10" t="s">
        <v>40</v>
      </c>
      <c r="GO54" s="10" t="s">
        <v>40</v>
      </c>
      <c r="GQ54" s="10" t="s">
        <v>40</v>
      </c>
      <c r="GS54" s="10" t="s">
        <v>40</v>
      </c>
      <c r="GU54" s="10" t="s">
        <v>40</v>
      </c>
      <c r="GW54" s="10" t="s">
        <v>40</v>
      </c>
      <c r="GY54" s="10" t="s">
        <v>40</v>
      </c>
      <c r="HA54" s="10" t="s">
        <v>40</v>
      </c>
      <c r="HC54" s="10" t="s">
        <v>40</v>
      </c>
    </row>
    <row r="55" spans="2:211" x14ac:dyDescent="0.2">
      <c r="B55" s="34"/>
      <c r="AC55" s="10" t="s">
        <v>40</v>
      </c>
      <c r="AE55" s="10" t="s">
        <v>40</v>
      </c>
    </row>
    <row r="56" spans="2:211" x14ac:dyDescent="0.2">
      <c r="B56" s="34"/>
      <c r="G56" s="25">
        <v>3332.5413868421742</v>
      </c>
      <c r="H56" s="26"/>
      <c r="I56" s="25">
        <v>3346.476558149111</v>
      </c>
      <c r="J56" s="26" t="s">
        <v>40</v>
      </c>
      <c r="K56" s="25">
        <v>3360.47</v>
      </c>
      <c r="L56" s="26" t="s">
        <v>40</v>
      </c>
      <c r="M56" s="25">
        <v>3374.5219560557339</v>
      </c>
      <c r="N56" s="26" t="s">
        <v>40</v>
      </c>
      <c r="O56" s="25">
        <v>3388.6326709960863</v>
      </c>
      <c r="Q56" s="25">
        <v>3402.8023905239684</v>
      </c>
      <c r="S56" s="25">
        <v>3417.0313613697103</v>
      </c>
      <c r="U56" s="25">
        <v>3431.3198312953555</v>
      </c>
      <c r="W56" s="26" t="s">
        <v>40</v>
      </c>
      <c r="Y56" s="26" t="s">
        <v>40</v>
      </c>
      <c r="AA56" s="26" t="s">
        <v>40</v>
      </c>
      <c r="AC56" s="26" t="s">
        <v>40</v>
      </c>
      <c r="AE56" s="26" t="s">
        <v>40</v>
      </c>
      <c r="AG56" s="26" t="s">
        <v>40</v>
      </c>
      <c r="AI56" s="26" t="s">
        <v>40</v>
      </c>
      <c r="AK56" s="26" t="s">
        <v>40</v>
      </c>
      <c r="AM56" s="26" t="s">
        <v>40</v>
      </c>
      <c r="AO56" s="26" t="s">
        <v>40</v>
      </c>
      <c r="AQ56" s="26" t="s">
        <v>40</v>
      </c>
      <c r="AS56" s="26" t="s">
        <v>40</v>
      </c>
      <c r="AU56" s="26" t="s">
        <v>40</v>
      </c>
      <c r="AW56" s="26" t="s">
        <v>40</v>
      </c>
      <c r="AY56" s="26" t="s">
        <v>40</v>
      </c>
      <c r="BA56" s="26" t="s">
        <v>40</v>
      </c>
      <c r="BC56" s="26" t="s">
        <v>40</v>
      </c>
      <c r="BE56" s="26" t="s">
        <v>40</v>
      </c>
      <c r="BG56" s="26" t="s">
        <v>40</v>
      </c>
      <c r="BI56" s="26" t="s">
        <v>40</v>
      </c>
      <c r="BK56" s="26" t="s">
        <v>40</v>
      </c>
      <c r="BM56" s="26" t="s">
        <v>40</v>
      </c>
      <c r="BO56" s="26" t="s">
        <v>40</v>
      </c>
      <c r="BQ56" s="26" t="s">
        <v>40</v>
      </c>
      <c r="BS56" s="26" t="s">
        <v>40</v>
      </c>
      <c r="BU56" s="26" t="s">
        <v>40</v>
      </c>
      <c r="BW56" s="26" t="s">
        <v>40</v>
      </c>
      <c r="BY56" s="26" t="s">
        <v>40</v>
      </c>
      <c r="CA56" s="26" t="s">
        <v>40</v>
      </c>
      <c r="CC56" s="26" t="s">
        <v>40</v>
      </c>
      <c r="CE56" s="26" t="s">
        <v>40</v>
      </c>
      <c r="CG56" s="26" t="s">
        <v>40</v>
      </c>
      <c r="CI56" s="26" t="s">
        <v>40</v>
      </c>
      <c r="CK56" s="26" t="s">
        <v>40</v>
      </c>
      <c r="CM56" s="26" t="s">
        <v>40</v>
      </c>
      <c r="CO56" s="26" t="s">
        <v>40</v>
      </c>
      <c r="CQ56" s="26" t="s">
        <v>40</v>
      </c>
      <c r="CS56" s="26" t="s">
        <v>40</v>
      </c>
      <c r="CU56" s="26" t="s">
        <v>40</v>
      </c>
      <c r="CW56" s="26" t="s">
        <v>40</v>
      </c>
      <c r="CY56" s="26" t="s">
        <v>40</v>
      </c>
      <c r="DA56" s="26" t="s">
        <v>40</v>
      </c>
      <c r="DC56" s="26" t="s">
        <v>40</v>
      </c>
      <c r="DE56" s="26" t="s">
        <v>40</v>
      </c>
      <c r="DG56" s="26" t="s">
        <v>40</v>
      </c>
      <c r="DI56" s="26" t="s">
        <v>40</v>
      </c>
      <c r="DK56" s="26" t="s">
        <v>40</v>
      </c>
      <c r="DM56" s="26" t="s">
        <v>40</v>
      </c>
      <c r="DO56" s="26" t="s">
        <v>40</v>
      </c>
      <c r="DQ56" s="26" t="s">
        <v>40</v>
      </c>
      <c r="DS56" s="26" t="s">
        <v>40</v>
      </c>
      <c r="DU56" s="26" t="s">
        <v>40</v>
      </c>
      <c r="DW56" s="26" t="s">
        <v>40</v>
      </c>
      <c r="DY56" s="26" t="s">
        <v>40</v>
      </c>
      <c r="EA56" s="26" t="s">
        <v>40</v>
      </c>
      <c r="EC56" s="26" t="s">
        <v>40</v>
      </c>
      <c r="EE56" s="26" t="s">
        <v>40</v>
      </c>
      <c r="EG56" s="26" t="s">
        <v>40</v>
      </c>
      <c r="EI56" s="26" t="s">
        <v>40</v>
      </c>
      <c r="EK56" s="26" t="s">
        <v>40</v>
      </c>
      <c r="EM56" s="26" t="s">
        <v>40</v>
      </c>
      <c r="EO56" s="26" t="s">
        <v>40</v>
      </c>
      <c r="EQ56" s="26" t="s">
        <v>40</v>
      </c>
      <c r="ES56" s="26" t="s">
        <v>40</v>
      </c>
      <c r="EU56" s="26" t="s">
        <v>40</v>
      </c>
      <c r="EW56" s="26" t="s">
        <v>40</v>
      </c>
      <c r="EY56" s="26" t="s">
        <v>40</v>
      </c>
      <c r="FA56" s="26" t="s">
        <v>40</v>
      </c>
      <c r="FC56" s="26" t="s">
        <v>40</v>
      </c>
      <c r="FE56" s="26" t="s">
        <v>40</v>
      </c>
      <c r="FG56" s="26" t="s">
        <v>40</v>
      </c>
      <c r="FI56" s="26" t="s">
        <v>40</v>
      </c>
      <c r="FK56" s="26" t="s">
        <v>40</v>
      </c>
      <c r="FM56" s="26" t="s">
        <v>40</v>
      </c>
      <c r="FO56" s="26" t="s">
        <v>40</v>
      </c>
      <c r="FQ56" s="26" t="s">
        <v>40</v>
      </c>
      <c r="FS56" s="26" t="s">
        <v>40</v>
      </c>
      <c r="FU56" s="26" t="s">
        <v>40</v>
      </c>
      <c r="FW56" s="26" t="s">
        <v>40</v>
      </c>
      <c r="FY56" s="26" t="s">
        <v>40</v>
      </c>
      <c r="GA56" s="26" t="s">
        <v>40</v>
      </c>
      <c r="GC56" s="26" t="s">
        <v>40</v>
      </c>
      <c r="GE56" s="26" t="s">
        <v>40</v>
      </c>
      <c r="GG56" s="26" t="s">
        <v>40</v>
      </c>
      <c r="GI56" s="26" t="s">
        <v>40</v>
      </c>
      <c r="GK56" s="26" t="s">
        <v>40</v>
      </c>
      <c r="GM56" s="26" t="s">
        <v>40</v>
      </c>
      <c r="GO56" s="26" t="s">
        <v>40</v>
      </c>
      <c r="GQ56" s="26" t="s">
        <v>40</v>
      </c>
      <c r="GS56" s="26" t="s">
        <v>40</v>
      </c>
      <c r="GU56" s="26" t="s">
        <v>40</v>
      </c>
      <c r="GW56" s="26" t="s">
        <v>40</v>
      </c>
      <c r="GY56" s="26" t="s">
        <v>40</v>
      </c>
      <c r="HA56" s="26" t="s">
        <v>40</v>
      </c>
      <c r="HC56" s="26" t="s">
        <v>40</v>
      </c>
    </row>
    <row r="57" spans="2:211" x14ac:dyDescent="0.2">
      <c r="B57" s="34"/>
      <c r="G57" s="24">
        <v>5.7167303438297559</v>
      </c>
      <c r="H57" s="10"/>
      <c r="I57" s="24">
        <v>9.0925546160019461</v>
      </c>
      <c r="J57" s="10" t="s">
        <v>40</v>
      </c>
      <c r="K57" s="24">
        <v>14.129199956522923</v>
      </c>
      <c r="L57" s="10" t="s">
        <v>40</v>
      </c>
      <c r="M57" s="24">
        <v>21.33865982275104</v>
      </c>
      <c r="N57" s="10" t="s">
        <v>40</v>
      </c>
      <c r="O57" s="24">
        <v>31.106704147670406</v>
      </c>
      <c r="Q57" s="24">
        <v>43.387398950980014</v>
      </c>
      <c r="S57" s="24">
        <v>57.323878316276208</v>
      </c>
      <c r="U57" s="24">
        <v>71.319831295355471</v>
      </c>
      <c r="W57" s="10" t="s">
        <v>40</v>
      </c>
      <c r="Y57" s="10" t="s">
        <v>40</v>
      </c>
      <c r="AA57" s="10" t="s">
        <v>40</v>
      </c>
      <c r="AC57" s="10" t="s">
        <v>40</v>
      </c>
      <c r="AE57" s="26" t="s">
        <v>40</v>
      </c>
      <c r="AG57" s="10" t="s">
        <v>40</v>
      </c>
      <c r="AI57" s="10" t="s">
        <v>40</v>
      </c>
      <c r="AK57" s="10" t="s">
        <v>40</v>
      </c>
      <c r="AM57" s="10" t="s">
        <v>40</v>
      </c>
      <c r="AO57" s="10" t="s">
        <v>40</v>
      </c>
      <c r="AQ57" s="10" t="s">
        <v>40</v>
      </c>
      <c r="AS57" s="10" t="s">
        <v>40</v>
      </c>
      <c r="AU57" s="10" t="s">
        <v>40</v>
      </c>
      <c r="AW57" s="10" t="s">
        <v>40</v>
      </c>
      <c r="AY57" s="10" t="s">
        <v>40</v>
      </c>
      <c r="BA57" s="10" t="s">
        <v>40</v>
      </c>
      <c r="BC57" s="10" t="s">
        <v>40</v>
      </c>
      <c r="BE57" s="10" t="s">
        <v>40</v>
      </c>
      <c r="BG57" s="10" t="s">
        <v>40</v>
      </c>
      <c r="BI57" s="10" t="s">
        <v>40</v>
      </c>
      <c r="BK57" s="10" t="s">
        <v>40</v>
      </c>
      <c r="BM57" s="10" t="s">
        <v>40</v>
      </c>
      <c r="BO57" s="10" t="s">
        <v>40</v>
      </c>
      <c r="BQ57" s="10" t="s">
        <v>40</v>
      </c>
      <c r="BS57" s="10" t="s">
        <v>40</v>
      </c>
      <c r="BU57" s="10" t="s">
        <v>40</v>
      </c>
      <c r="BW57" s="10" t="s">
        <v>40</v>
      </c>
      <c r="BY57" s="10" t="s">
        <v>40</v>
      </c>
      <c r="CA57" s="10" t="s">
        <v>40</v>
      </c>
      <c r="CC57" s="10" t="s">
        <v>40</v>
      </c>
      <c r="CE57" s="10" t="s">
        <v>40</v>
      </c>
      <c r="CG57" s="10" t="s">
        <v>40</v>
      </c>
      <c r="CI57" s="10" t="s">
        <v>40</v>
      </c>
      <c r="CK57" s="10" t="s">
        <v>40</v>
      </c>
      <c r="CM57" s="10" t="s">
        <v>40</v>
      </c>
      <c r="CO57" s="10" t="s">
        <v>40</v>
      </c>
      <c r="CQ57" s="10" t="s">
        <v>40</v>
      </c>
      <c r="CS57" s="10" t="s">
        <v>40</v>
      </c>
      <c r="CU57" s="10" t="s">
        <v>40</v>
      </c>
      <c r="CW57" s="10" t="s">
        <v>40</v>
      </c>
      <c r="CY57" s="10" t="s">
        <v>40</v>
      </c>
      <c r="DA57" s="10" t="s">
        <v>40</v>
      </c>
      <c r="DC57" s="10" t="s">
        <v>40</v>
      </c>
      <c r="DE57" s="10" t="s">
        <v>40</v>
      </c>
      <c r="DG57" s="10" t="s">
        <v>40</v>
      </c>
      <c r="DI57" s="10" t="s">
        <v>40</v>
      </c>
      <c r="DK57" s="10" t="s">
        <v>40</v>
      </c>
      <c r="DM57" s="10" t="s">
        <v>40</v>
      </c>
      <c r="DO57" s="10" t="s">
        <v>40</v>
      </c>
      <c r="DQ57" s="10" t="s">
        <v>40</v>
      </c>
      <c r="DS57" s="10" t="s">
        <v>40</v>
      </c>
      <c r="DU57" s="10" t="s">
        <v>40</v>
      </c>
      <c r="DW57" s="10" t="s">
        <v>40</v>
      </c>
      <c r="DY57" s="10" t="s">
        <v>40</v>
      </c>
      <c r="EA57" s="10" t="s">
        <v>40</v>
      </c>
      <c r="EC57" s="10" t="s">
        <v>40</v>
      </c>
      <c r="EE57" s="10" t="s">
        <v>40</v>
      </c>
      <c r="EG57" s="10" t="s">
        <v>40</v>
      </c>
      <c r="EI57" s="10" t="s">
        <v>40</v>
      </c>
      <c r="EK57" s="10" t="s">
        <v>40</v>
      </c>
      <c r="EM57" s="10" t="s">
        <v>40</v>
      </c>
      <c r="EO57" s="10" t="s">
        <v>40</v>
      </c>
      <c r="EQ57" s="10" t="s">
        <v>40</v>
      </c>
      <c r="ES57" s="10" t="s">
        <v>40</v>
      </c>
      <c r="EU57" s="10" t="s">
        <v>40</v>
      </c>
      <c r="EW57" s="10" t="s">
        <v>40</v>
      </c>
      <c r="EY57" s="10" t="s">
        <v>40</v>
      </c>
      <c r="FA57" s="10" t="s">
        <v>40</v>
      </c>
      <c r="FC57" s="10" t="s">
        <v>40</v>
      </c>
      <c r="FE57" s="10" t="s">
        <v>40</v>
      </c>
      <c r="FG57" s="10" t="s">
        <v>40</v>
      </c>
      <c r="FI57" s="10" t="s">
        <v>40</v>
      </c>
      <c r="FK57" s="10" t="s">
        <v>40</v>
      </c>
      <c r="FM57" s="10" t="s">
        <v>40</v>
      </c>
      <c r="FO57" s="10" t="s">
        <v>40</v>
      </c>
      <c r="FQ57" s="10" t="s">
        <v>40</v>
      </c>
      <c r="FS57" s="10" t="s">
        <v>40</v>
      </c>
      <c r="FU57" s="10" t="s">
        <v>40</v>
      </c>
      <c r="FW57" s="10" t="s">
        <v>40</v>
      </c>
      <c r="FY57" s="10" t="s">
        <v>40</v>
      </c>
      <c r="GA57" s="10" t="s">
        <v>40</v>
      </c>
      <c r="GC57" s="10" t="s">
        <v>40</v>
      </c>
      <c r="GE57" s="10" t="s">
        <v>40</v>
      </c>
      <c r="GG57" s="10" t="s">
        <v>40</v>
      </c>
      <c r="GI57" s="10" t="s">
        <v>40</v>
      </c>
      <c r="GK57" s="10" t="s">
        <v>40</v>
      </c>
      <c r="GM57" s="10" t="s">
        <v>40</v>
      </c>
      <c r="GO57" s="10" t="s">
        <v>40</v>
      </c>
      <c r="GQ57" s="10" t="s">
        <v>40</v>
      </c>
      <c r="GS57" s="10" t="s">
        <v>40</v>
      </c>
      <c r="GU57" s="10" t="s">
        <v>40</v>
      </c>
      <c r="GW57" s="10" t="s">
        <v>40</v>
      </c>
      <c r="GY57" s="10" t="s">
        <v>40</v>
      </c>
      <c r="HA57" s="10" t="s">
        <v>40</v>
      </c>
      <c r="HC57" s="10" t="s">
        <v>40</v>
      </c>
    </row>
    <row r="58" spans="2:211" x14ac:dyDescent="0.2">
      <c r="B58" s="34"/>
      <c r="AE58" s="10" t="s">
        <v>40</v>
      </c>
    </row>
    <row r="59" spans="2:211" x14ac:dyDescent="0.2">
      <c r="B59" s="34"/>
      <c r="I59" s="25">
        <v>3318.6642434329319</v>
      </c>
      <c r="J59" s="26" t="s">
        <v>40</v>
      </c>
      <c r="K59" s="25">
        <v>3332.5413868421742</v>
      </c>
      <c r="L59" s="26" t="s">
        <v>40</v>
      </c>
      <c r="M59" s="25">
        <v>3346.476558149111</v>
      </c>
      <c r="N59" s="26" t="s">
        <v>40</v>
      </c>
      <c r="O59" s="25">
        <v>3360.47</v>
      </c>
      <c r="Q59" s="25">
        <v>3374.5219560557339</v>
      </c>
      <c r="S59" s="25">
        <v>3388.6326709960863</v>
      </c>
      <c r="U59" s="25">
        <v>3402.8023905239684</v>
      </c>
      <c r="W59" s="26" t="s">
        <v>40</v>
      </c>
      <c r="Y59" s="26" t="s">
        <v>40</v>
      </c>
      <c r="AA59" s="26" t="s">
        <v>40</v>
      </c>
      <c r="AC59" s="26" t="s">
        <v>40</v>
      </c>
      <c r="AE59" s="26" t="s">
        <v>40</v>
      </c>
      <c r="AG59" s="26" t="s">
        <v>40</v>
      </c>
      <c r="AI59" s="26" t="s">
        <v>40</v>
      </c>
      <c r="AK59" s="26" t="s">
        <v>40</v>
      </c>
      <c r="AM59" s="26" t="s">
        <v>40</v>
      </c>
      <c r="AO59" s="26" t="s">
        <v>40</v>
      </c>
      <c r="AQ59" s="26" t="s">
        <v>40</v>
      </c>
      <c r="AS59" s="26" t="s">
        <v>40</v>
      </c>
      <c r="AU59" s="26" t="s">
        <v>40</v>
      </c>
      <c r="AW59" s="26" t="s">
        <v>40</v>
      </c>
      <c r="AY59" s="26" t="s">
        <v>40</v>
      </c>
      <c r="BA59" s="26" t="s">
        <v>40</v>
      </c>
      <c r="BC59" s="26" t="s">
        <v>40</v>
      </c>
      <c r="BE59" s="26" t="s">
        <v>40</v>
      </c>
      <c r="BG59" s="26" t="s">
        <v>40</v>
      </c>
      <c r="BI59" s="26" t="s">
        <v>40</v>
      </c>
      <c r="BK59" s="26" t="s">
        <v>40</v>
      </c>
      <c r="BM59" s="26" t="s">
        <v>40</v>
      </c>
      <c r="BO59" s="26" t="s">
        <v>40</v>
      </c>
      <c r="BQ59" s="26" t="s">
        <v>40</v>
      </c>
      <c r="BS59" s="26" t="s">
        <v>40</v>
      </c>
      <c r="BU59" s="26" t="s">
        <v>40</v>
      </c>
      <c r="BW59" s="26" t="s">
        <v>40</v>
      </c>
      <c r="BY59" s="26" t="s">
        <v>40</v>
      </c>
      <c r="CA59" s="26" t="s">
        <v>40</v>
      </c>
      <c r="CC59" s="26" t="s">
        <v>40</v>
      </c>
      <c r="CE59" s="26" t="s">
        <v>40</v>
      </c>
      <c r="CG59" s="26" t="s">
        <v>40</v>
      </c>
      <c r="CI59" s="26" t="s">
        <v>40</v>
      </c>
      <c r="CK59" s="26" t="s">
        <v>40</v>
      </c>
      <c r="CM59" s="26" t="s">
        <v>40</v>
      </c>
      <c r="CO59" s="26" t="s">
        <v>40</v>
      </c>
      <c r="CQ59" s="26" t="s">
        <v>40</v>
      </c>
      <c r="CS59" s="26" t="s">
        <v>40</v>
      </c>
      <c r="CU59" s="26" t="s">
        <v>40</v>
      </c>
      <c r="CW59" s="26" t="s">
        <v>40</v>
      </c>
      <c r="CY59" s="26" t="s">
        <v>40</v>
      </c>
      <c r="DA59" s="26" t="s">
        <v>40</v>
      </c>
      <c r="DC59" s="26" t="s">
        <v>40</v>
      </c>
      <c r="DE59" s="26" t="s">
        <v>40</v>
      </c>
      <c r="DG59" s="26" t="s">
        <v>40</v>
      </c>
      <c r="DI59" s="26" t="s">
        <v>40</v>
      </c>
      <c r="DK59" s="26" t="s">
        <v>40</v>
      </c>
      <c r="DM59" s="26" t="s">
        <v>40</v>
      </c>
      <c r="DO59" s="26" t="s">
        <v>40</v>
      </c>
      <c r="DQ59" s="26" t="s">
        <v>40</v>
      </c>
      <c r="DS59" s="26" t="s">
        <v>40</v>
      </c>
      <c r="DU59" s="26" t="s">
        <v>40</v>
      </c>
      <c r="DW59" s="26" t="s">
        <v>40</v>
      </c>
      <c r="DY59" s="26" t="s">
        <v>40</v>
      </c>
      <c r="EA59" s="26" t="s">
        <v>40</v>
      </c>
      <c r="EC59" s="26" t="s">
        <v>40</v>
      </c>
      <c r="EE59" s="26" t="s">
        <v>40</v>
      </c>
      <c r="EG59" s="26" t="s">
        <v>40</v>
      </c>
      <c r="EI59" s="26" t="s">
        <v>40</v>
      </c>
      <c r="EK59" s="26" t="s">
        <v>40</v>
      </c>
      <c r="EM59" s="26" t="s">
        <v>40</v>
      </c>
      <c r="EO59" s="26" t="s">
        <v>40</v>
      </c>
      <c r="EQ59" s="26" t="s">
        <v>40</v>
      </c>
      <c r="ES59" s="26" t="s">
        <v>40</v>
      </c>
      <c r="EU59" s="26" t="s">
        <v>40</v>
      </c>
      <c r="EW59" s="26" t="s">
        <v>40</v>
      </c>
      <c r="EY59" s="26" t="s">
        <v>40</v>
      </c>
      <c r="FA59" s="26" t="s">
        <v>40</v>
      </c>
      <c r="FC59" s="26" t="s">
        <v>40</v>
      </c>
      <c r="FE59" s="26" t="s">
        <v>40</v>
      </c>
      <c r="FG59" s="26" t="s">
        <v>40</v>
      </c>
      <c r="FI59" s="26" t="s">
        <v>40</v>
      </c>
      <c r="FK59" s="26" t="s">
        <v>40</v>
      </c>
      <c r="FM59" s="26" t="s">
        <v>40</v>
      </c>
      <c r="FO59" s="26" t="s">
        <v>40</v>
      </c>
      <c r="FQ59" s="26" t="s">
        <v>40</v>
      </c>
      <c r="FS59" s="26" t="s">
        <v>40</v>
      </c>
      <c r="FU59" s="26" t="s">
        <v>40</v>
      </c>
      <c r="FW59" s="26" t="s">
        <v>40</v>
      </c>
      <c r="FY59" s="26" t="s">
        <v>40</v>
      </c>
      <c r="GA59" s="26" t="s">
        <v>40</v>
      </c>
      <c r="GC59" s="26" t="s">
        <v>40</v>
      </c>
      <c r="GE59" s="26" t="s">
        <v>40</v>
      </c>
      <c r="GG59" s="26" t="s">
        <v>40</v>
      </c>
      <c r="GI59" s="26" t="s">
        <v>40</v>
      </c>
      <c r="GK59" s="26" t="s">
        <v>40</v>
      </c>
      <c r="GM59" s="26" t="s">
        <v>40</v>
      </c>
      <c r="GO59" s="26" t="s">
        <v>40</v>
      </c>
      <c r="GQ59" s="26" t="s">
        <v>40</v>
      </c>
      <c r="GS59" s="26" t="s">
        <v>40</v>
      </c>
      <c r="GU59" s="26" t="s">
        <v>40</v>
      </c>
      <c r="GW59" s="26" t="s">
        <v>40</v>
      </c>
      <c r="GY59" s="26" t="s">
        <v>40</v>
      </c>
      <c r="HA59" s="26" t="s">
        <v>40</v>
      </c>
      <c r="HC59" s="26" t="s">
        <v>40</v>
      </c>
    </row>
    <row r="60" spans="2:211" x14ac:dyDescent="0.2">
      <c r="B60" s="34"/>
      <c r="I60" s="24">
        <v>2.2127078557404358</v>
      </c>
      <c r="J60" s="10" t="s">
        <v>40</v>
      </c>
      <c r="K60" s="24">
        <v>3.8647407176294455</v>
      </c>
      <c r="L60" s="10" t="s">
        <v>40</v>
      </c>
      <c r="M60" s="24">
        <v>6.6462989141677475</v>
      </c>
      <c r="N60" s="10" t="s">
        <v>40</v>
      </c>
      <c r="O60" s="24">
        <v>11.200521607818514</v>
      </c>
      <c r="Q60" s="24">
        <v>18.361474964213432</v>
      </c>
      <c r="S60" s="24">
        <v>28.925187942652087</v>
      </c>
      <c r="U60" s="24">
        <v>42.80239052396837</v>
      </c>
      <c r="W60" s="10" t="s">
        <v>40</v>
      </c>
      <c r="Y60" s="10" t="s">
        <v>40</v>
      </c>
      <c r="AA60" s="10" t="s">
        <v>40</v>
      </c>
      <c r="AC60" s="10" t="s">
        <v>40</v>
      </c>
      <c r="AE60" s="10" t="s">
        <v>40</v>
      </c>
      <c r="AG60" s="10" t="s">
        <v>40</v>
      </c>
      <c r="AI60" s="10" t="s">
        <v>40</v>
      </c>
      <c r="AK60" s="10" t="s">
        <v>40</v>
      </c>
      <c r="AM60" s="10" t="s">
        <v>40</v>
      </c>
      <c r="AO60" s="10" t="s">
        <v>40</v>
      </c>
      <c r="AQ60" s="10" t="s">
        <v>40</v>
      </c>
      <c r="AS60" s="10" t="s">
        <v>40</v>
      </c>
      <c r="AU60" s="10" t="s">
        <v>40</v>
      </c>
      <c r="AW60" s="10" t="s">
        <v>40</v>
      </c>
      <c r="AY60" s="10" t="s">
        <v>40</v>
      </c>
      <c r="BA60" s="10" t="s">
        <v>40</v>
      </c>
      <c r="BC60" s="10" t="s">
        <v>40</v>
      </c>
      <c r="BE60" s="10" t="s">
        <v>40</v>
      </c>
      <c r="BG60" s="10" t="s">
        <v>40</v>
      </c>
      <c r="BI60" s="10" t="s">
        <v>40</v>
      </c>
      <c r="BK60" s="10" t="s">
        <v>40</v>
      </c>
      <c r="BM60" s="10" t="s">
        <v>40</v>
      </c>
      <c r="BO60" s="10" t="s">
        <v>40</v>
      </c>
      <c r="BQ60" s="10" t="s">
        <v>40</v>
      </c>
      <c r="BS60" s="10" t="s">
        <v>40</v>
      </c>
      <c r="BU60" s="10" t="s">
        <v>40</v>
      </c>
      <c r="BW60" s="10" t="s">
        <v>40</v>
      </c>
      <c r="BY60" s="10" t="s">
        <v>40</v>
      </c>
      <c r="CA60" s="10" t="s">
        <v>40</v>
      </c>
      <c r="CC60" s="10" t="s">
        <v>40</v>
      </c>
      <c r="CE60" s="10" t="s">
        <v>40</v>
      </c>
      <c r="CG60" s="10" t="s">
        <v>40</v>
      </c>
      <c r="CI60" s="10" t="s">
        <v>40</v>
      </c>
      <c r="CK60" s="10" t="s">
        <v>40</v>
      </c>
      <c r="CM60" s="10" t="s">
        <v>40</v>
      </c>
      <c r="CO60" s="10" t="s">
        <v>40</v>
      </c>
      <c r="CQ60" s="10" t="s">
        <v>40</v>
      </c>
      <c r="CS60" s="10" t="s">
        <v>40</v>
      </c>
      <c r="CU60" s="10" t="s">
        <v>40</v>
      </c>
      <c r="CW60" s="10" t="s">
        <v>40</v>
      </c>
      <c r="CY60" s="10" t="s">
        <v>40</v>
      </c>
      <c r="DA60" s="10" t="s">
        <v>40</v>
      </c>
      <c r="DC60" s="10" t="s">
        <v>40</v>
      </c>
      <c r="DE60" s="10" t="s">
        <v>40</v>
      </c>
      <c r="DG60" s="10" t="s">
        <v>40</v>
      </c>
      <c r="DI60" s="10" t="s">
        <v>40</v>
      </c>
      <c r="DK60" s="10" t="s">
        <v>40</v>
      </c>
      <c r="DM60" s="10" t="s">
        <v>40</v>
      </c>
      <c r="DO60" s="10" t="s">
        <v>40</v>
      </c>
      <c r="DQ60" s="10" t="s">
        <v>40</v>
      </c>
      <c r="DS60" s="10" t="s">
        <v>40</v>
      </c>
      <c r="DU60" s="10" t="s">
        <v>40</v>
      </c>
      <c r="DW60" s="10" t="s">
        <v>40</v>
      </c>
      <c r="DY60" s="10" t="s">
        <v>40</v>
      </c>
      <c r="EA60" s="10" t="s">
        <v>40</v>
      </c>
      <c r="EC60" s="10" t="s">
        <v>40</v>
      </c>
      <c r="EE60" s="10" t="s">
        <v>40</v>
      </c>
      <c r="EG60" s="10" t="s">
        <v>40</v>
      </c>
      <c r="EI60" s="10" t="s">
        <v>40</v>
      </c>
      <c r="EK60" s="10" t="s">
        <v>40</v>
      </c>
      <c r="EM60" s="10" t="s">
        <v>40</v>
      </c>
      <c r="EO60" s="10" t="s">
        <v>40</v>
      </c>
      <c r="EQ60" s="10" t="s">
        <v>40</v>
      </c>
      <c r="ES60" s="10" t="s">
        <v>40</v>
      </c>
      <c r="EU60" s="10" t="s">
        <v>40</v>
      </c>
      <c r="EW60" s="10" t="s">
        <v>40</v>
      </c>
      <c r="EY60" s="10" t="s">
        <v>40</v>
      </c>
      <c r="FA60" s="10" t="s">
        <v>40</v>
      </c>
      <c r="FC60" s="10" t="s">
        <v>40</v>
      </c>
      <c r="FE60" s="10" t="s">
        <v>40</v>
      </c>
      <c r="FG60" s="10" t="s">
        <v>40</v>
      </c>
      <c r="FI60" s="10" t="s">
        <v>40</v>
      </c>
      <c r="FK60" s="10" t="s">
        <v>40</v>
      </c>
      <c r="FM60" s="10" t="s">
        <v>40</v>
      </c>
      <c r="FO60" s="10" t="s">
        <v>40</v>
      </c>
      <c r="FQ60" s="10" t="s">
        <v>40</v>
      </c>
      <c r="FS60" s="10" t="s">
        <v>40</v>
      </c>
      <c r="FU60" s="10" t="s">
        <v>40</v>
      </c>
      <c r="FW60" s="10" t="s">
        <v>40</v>
      </c>
      <c r="FY60" s="10" t="s">
        <v>40</v>
      </c>
      <c r="GA60" s="10" t="s">
        <v>40</v>
      </c>
      <c r="GC60" s="10" t="s">
        <v>40</v>
      </c>
      <c r="GE60" s="10" t="s">
        <v>40</v>
      </c>
      <c r="GG60" s="10" t="s">
        <v>40</v>
      </c>
      <c r="GI60" s="10" t="s">
        <v>40</v>
      </c>
      <c r="GK60" s="10" t="s">
        <v>40</v>
      </c>
      <c r="GM60" s="10" t="s">
        <v>40</v>
      </c>
      <c r="GO60" s="10" t="s">
        <v>40</v>
      </c>
      <c r="GQ60" s="10" t="s">
        <v>40</v>
      </c>
      <c r="GS60" s="10" t="s">
        <v>40</v>
      </c>
      <c r="GU60" s="10" t="s">
        <v>40</v>
      </c>
      <c r="GW60" s="10" t="s">
        <v>40</v>
      </c>
      <c r="GY60" s="10" t="s">
        <v>40</v>
      </c>
      <c r="HA60" s="10" t="s">
        <v>40</v>
      </c>
      <c r="HC60" s="10" t="s">
        <v>40</v>
      </c>
    </row>
    <row r="61" spans="2:211" x14ac:dyDescent="0.2">
      <c r="B61" s="34"/>
    </row>
    <row r="62" spans="2:211" x14ac:dyDescent="0.2">
      <c r="B62" s="34"/>
      <c r="K62" s="25">
        <v>3304.844886285538</v>
      </c>
      <c r="L62" s="26" t="s">
        <v>40</v>
      </c>
      <c r="M62" s="25">
        <v>3318.6642434329319</v>
      </c>
      <c r="N62" s="26" t="s">
        <v>40</v>
      </c>
      <c r="O62" s="25">
        <v>3332.5413868421742</v>
      </c>
      <c r="Q62" s="25">
        <v>3346.476558149111</v>
      </c>
      <c r="S62" s="25">
        <v>3360.47</v>
      </c>
      <c r="U62" s="25">
        <v>3374.5219560557339</v>
      </c>
      <c r="W62" s="26" t="s">
        <v>40</v>
      </c>
      <c r="Y62" s="26" t="s">
        <v>40</v>
      </c>
      <c r="AA62" s="26" t="s">
        <v>40</v>
      </c>
      <c r="AC62" s="26" t="s">
        <v>40</v>
      </c>
      <c r="AE62" s="26" t="s">
        <v>40</v>
      </c>
      <c r="AG62" s="26" t="s">
        <v>40</v>
      </c>
      <c r="AI62" s="26" t="s">
        <v>40</v>
      </c>
      <c r="AK62" s="26" t="s">
        <v>40</v>
      </c>
      <c r="AM62" s="26" t="s">
        <v>40</v>
      </c>
      <c r="AO62" s="26" t="s">
        <v>40</v>
      </c>
      <c r="AQ62" s="26" t="s">
        <v>40</v>
      </c>
      <c r="AS62" s="26" t="s">
        <v>40</v>
      </c>
      <c r="AU62" s="26" t="s">
        <v>40</v>
      </c>
      <c r="AW62" s="26" t="s">
        <v>40</v>
      </c>
      <c r="AY62" s="26" t="s">
        <v>40</v>
      </c>
      <c r="BA62" s="26" t="s">
        <v>40</v>
      </c>
      <c r="BC62" s="26" t="s">
        <v>40</v>
      </c>
      <c r="BE62" s="26" t="s">
        <v>40</v>
      </c>
      <c r="BG62" s="26" t="s">
        <v>40</v>
      </c>
      <c r="BI62" s="26" t="s">
        <v>40</v>
      </c>
      <c r="BK62" s="26" t="s">
        <v>40</v>
      </c>
      <c r="BM62" s="26" t="s">
        <v>40</v>
      </c>
      <c r="BO62" s="26" t="s">
        <v>40</v>
      </c>
      <c r="BQ62" s="26" t="s">
        <v>40</v>
      </c>
      <c r="BS62" s="26" t="s">
        <v>40</v>
      </c>
      <c r="BU62" s="26" t="s">
        <v>40</v>
      </c>
      <c r="BW62" s="26" t="s">
        <v>40</v>
      </c>
      <c r="BY62" s="26" t="s">
        <v>40</v>
      </c>
      <c r="CA62" s="26" t="s">
        <v>40</v>
      </c>
      <c r="CC62" s="26" t="s">
        <v>40</v>
      </c>
      <c r="CE62" s="26" t="s">
        <v>40</v>
      </c>
      <c r="CG62" s="26" t="s">
        <v>40</v>
      </c>
      <c r="CI62" s="26" t="s">
        <v>40</v>
      </c>
      <c r="CK62" s="26" t="s">
        <v>40</v>
      </c>
      <c r="CM62" s="26" t="s">
        <v>40</v>
      </c>
      <c r="CO62" s="26" t="s">
        <v>40</v>
      </c>
      <c r="CQ62" s="26" t="s">
        <v>40</v>
      </c>
      <c r="CS62" s="26" t="s">
        <v>40</v>
      </c>
      <c r="CU62" s="26" t="s">
        <v>40</v>
      </c>
      <c r="CW62" s="26" t="s">
        <v>40</v>
      </c>
      <c r="CY62" s="26" t="s">
        <v>40</v>
      </c>
      <c r="DA62" s="26" t="s">
        <v>40</v>
      </c>
      <c r="DC62" s="26" t="s">
        <v>40</v>
      </c>
      <c r="DE62" s="26" t="s">
        <v>40</v>
      </c>
      <c r="DG62" s="26" t="s">
        <v>40</v>
      </c>
      <c r="DI62" s="26" t="s">
        <v>40</v>
      </c>
      <c r="DK62" s="26" t="s">
        <v>40</v>
      </c>
      <c r="DM62" s="26" t="s">
        <v>40</v>
      </c>
      <c r="DO62" s="26" t="s">
        <v>40</v>
      </c>
      <c r="DQ62" s="26" t="s">
        <v>40</v>
      </c>
      <c r="DS62" s="26" t="s">
        <v>40</v>
      </c>
      <c r="DU62" s="26" t="s">
        <v>40</v>
      </c>
      <c r="DW62" s="26" t="s">
        <v>40</v>
      </c>
      <c r="DY62" s="26" t="s">
        <v>40</v>
      </c>
      <c r="EA62" s="26" t="s">
        <v>40</v>
      </c>
      <c r="EC62" s="26" t="s">
        <v>40</v>
      </c>
      <c r="EE62" s="26" t="s">
        <v>40</v>
      </c>
      <c r="EG62" s="26" t="s">
        <v>40</v>
      </c>
      <c r="EI62" s="26" t="s">
        <v>40</v>
      </c>
      <c r="EK62" s="26" t="s">
        <v>40</v>
      </c>
      <c r="EM62" s="26" t="s">
        <v>40</v>
      </c>
      <c r="EO62" s="26" t="s">
        <v>40</v>
      </c>
      <c r="EQ62" s="26" t="s">
        <v>40</v>
      </c>
      <c r="ES62" s="26" t="s">
        <v>40</v>
      </c>
      <c r="EU62" s="26" t="s">
        <v>40</v>
      </c>
      <c r="EW62" s="26" t="s">
        <v>40</v>
      </c>
      <c r="EY62" s="26" t="s">
        <v>40</v>
      </c>
      <c r="FA62" s="26" t="s">
        <v>40</v>
      </c>
      <c r="FC62" s="26" t="s">
        <v>40</v>
      </c>
      <c r="FE62" s="26" t="s">
        <v>40</v>
      </c>
      <c r="FG62" s="26" t="s">
        <v>40</v>
      </c>
      <c r="FI62" s="26" t="s">
        <v>40</v>
      </c>
      <c r="FK62" s="26" t="s">
        <v>40</v>
      </c>
      <c r="FM62" s="26" t="s">
        <v>40</v>
      </c>
      <c r="FO62" s="26" t="s">
        <v>40</v>
      </c>
      <c r="FQ62" s="26" t="s">
        <v>40</v>
      </c>
      <c r="FS62" s="26" t="s">
        <v>40</v>
      </c>
      <c r="FU62" s="26" t="s">
        <v>40</v>
      </c>
      <c r="FW62" s="26" t="s">
        <v>40</v>
      </c>
      <c r="FY62" s="26" t="s">
        <v>40</v>
      </c>
      <c r="GA62" s="26" t="s">
        <v>40</v>
      </c>
      <c r="GC62" s="26" t="s">
        <v>40</v>
      </c>
      <c r="GE62" s="26" t="s">
        <v>40</v>
      </c>
      <c r="GG62" s="26" t="s">
        <v>40</v>
      </c>
      <c r="GI62" s="26" t="s">
        <v>40</v>
      </c>
      <c r="GK62" s="26" t="s">
        <v>40</v>
      </c>
      <c r="GM62" s="26" t="s">
        <v>40</v>
      </c>
      <c r="GO62" s="26" t="s">
        <v>40</v>
      </c>
      <c r="GQ62" s="26" t="s">
        <v>40</v>
      </c>
      <c r="GS62" s="26" t="s">
        <v>40</v>
      </c>
      <c r="GU62" s="26" t="s">
        <v>40</v>
      </c>
      <c r="GW62" s="26" t="s">
        <v>40</v>
      </c>
      <c r="GY62" s="26" t="s">
        <v>40</v>
      </c>
      <c r="HA62" s="26" t="s">
        <v>40</v>
      </c>
      <c r="HC62" s="26" t="s">
        <v>40</v>
      </c>
    </row>
    <row r="63" spans="2:211" x14ac:dyDescent="0.2">
      <c r="B63" s="34"/>
      <c r="K63" s="24">
        <v>0.49783461611762614</v>
      </c>
      <c r="L63" s="10" t="s">
        <v>40</v>
      </c>
      <c r="M63" s="24">
        <v>0.97740171486626837</v>
      </c>
      <c r="N63" s="10" t="s">
        <v>40</v>
      </c>
      <c r="O63" s="24">
        <v>1.9189387023215854</v>
      </c>
      <c r="Q63" s="24">
        <v>3.7674639682532978</v>
      </c>
      <c r="S63" s="24">
        <v>7.3966848106793881</v>
      </c>
      <c r="U63" s="24">
        <v>14.521956055733881</v>
      </c>
      <c r="W63" s="10" t="s">
        <v>40</v>
      </c>
      <c r="Y63" s="10" t="s">
        <v>40</v>
      </c>
      <c r="AA63" s="10" t="s">
        <v>40</v>
      </c>
      <c r="AC63" s="10" t="s">
        <v>40</v>
      </c>
      <c r="AE63" s="10" t="s">
        <v>40</v>
      </c>
      <c r="AG63" s="10" t="s">
        <v>40</v>
      </c>
      <c r="AI63" s="10" t="s">
        <v>40</v>
      </c>
      <c r="AK63" s="10" t="s">
        <v>40</v>
      </c>
      <c r="AM63" s="10" t="s">
        <v>40</v>
      </c>
      <c r="AO63" s="10" t="s">
        <v>40</v>
      </c>
      <c r="AQ63" s="10" t="s">
        <v>40</v>
      </c>
      <c r="AS63" s="10" t="s">
        <v>40</v>
      </c>
      <c r="AU63" s="10" t="s">
        <v>40</v>
      </c>
      <c r="AW63" s="10" t="s">
        <v>40</v>
      </c>
      <c r="AY63" s="10" t="s">
        <v>40</v>
      </c>
      <c r="BA63" s="10" t="s">
        <v>40</v>
      </c>
      <c r="BC63" s="10" t="s">
        <v>40</v>
      </c>
      <c r="BE63" s="10" t="s">
        <v>40</v>
      </c>
      <c r="BG63" s="10" t="s">
        <v>40</v>
      </c>
      <c r="BI63" s="10" t="s">
        <v>40</v>
      </c>
      <c r="BK63" s="10" t="s">
        <v>40</v>
      </c>
      <c r="BM63" s="10" t="s">
        <v>40</v>
      </c>
      <c r="BO63" s="10" t="s">
        <v>40</v>
      </c>
      <c r="BQ63" s="10" t="s">
        <v>40</v>
      </c>
      <c r="BS63" s="10" t="s">
        <v>40</v>
      </c>
      <c r="BU63" s="10" t="s">
        <v>40</v>
      </c>
      <c r="BW63" s="10" t="s">
        <v>40</v>
      </c>
      <c r="BY63" s="10" t="s">
        <v>40</v>
      </c>
      <c r="CA63" s="10" t="s">
        <v>40</v>
      </c>
      <c r="CC63" s="10" t="s">
        <v>40</v>
      </c>
      <c r="CE63" s="10" t="s">
        <v>40</v>
      </c>
      <c r="CG63" s="10" t="s">
        <v>40</v>
      </c>
      <c r="CI63" s="10" t="s">
        <v>40</v>
      </c>
      <c r="CK63" s="10" t="s">
        <v>40</v>
      </c>
      <c r="CM63" s="10" t="s">
        <v>40</v>
      </c>
      <c r="CO63" s="10" t="s">
        <v>40</v>
      </c>
      <c r="CQ63" s="10" t="s">
        <v>40</v>
      </c>
      <c r="CS63" s="10" t="s">
        <v>40</v>
      </c>
      <c r="CU63" s="10" t="s">
        <v>40</v>
      </c>
      <c r="CW63" s="10" t="s">
        <v>40</v>
      </c>
      <c r="CY63" s="10" t="s">
        <v>40</v>
      </c>
      <c r="DA63" s="10" t="s">
        <v>40</v>
      </c>
      <c r="DC63" s="10" t="s">
        <v>40</v>
      </c>
      <c r="DE63" s="10" t="s">
        <v>40</v>
      </c>
      <c r="DG63" s="10" t="s">
        <v>40</v>
      </c>
      <c r="DI63" s="10" t="s">
        <v>40</v>
      </c>
      <c r="DK63" s="10" t="s">
        <v>40</v>
      </c>
      <c r="DM63" s="10" t="s">
        <v>40</v>
      </c>
      <c r="DO63" s="10" t="s">
        <v>40</v>
      </c>
      <c r="DQ63" s="10" t="s">
        <v>40</v>
      </c>
      <c r="DS63" s="10" t="s">
        <v>40</v>
      </c>
      <c r="DU63" s="10" t="s">
        <v>40</v>
      </c>
      <c r="DW63" s="10" t="s">
        <v>40</v>
      </c>
      <c r="DY63" s="10" t="s">
        <v>40</v>
      </c>
      <c r="EA63" s="10" t="s">
        <v>40</v>
      </c>
      <c r="EC63" s="10" t="s">
        <v>40</v>
      </c>
      <c r="EE63" s="10" t="s">
        <v>40</v>
      </c>
      <c r="EG63" s="10" t="s">
        <v>40</v>
      </c>
      <c r="EI63" s="10" t="s">
        <v>40</v>
      </c>
      <c r="EK63" s="10" t="s">
        <v>40</v>
      </c>
      <c r="EM63" s="10" t="s">
        <v>40</v>
      </c>
      <c r="EO63" s="10" t="s">
        <v>40</v>
      </c>
      <c r="EQ63" s="10" t="s">
        <v>40</v>
      </c>
      <c r="ES63" s="10" t="s">
        <v>40</v>
      </c>
      <c r="EU63" s="10" t="s">
        <v>40</v>
      </c>
      <c r="EW63" s="10" t="s">
        <v>40</v>
      </c>
      <c r="EY63" s="10" t="s">
        <v>40</v>
      </c>
      <c r="FA63" s="10" t="s">
        <v>40</v>
      </c>
      <c r="FC63" s="10" t="s">
        <v>40</v>
      </c>
      <c r="FE63" s="10" t="s">
        <v>40</v>
      </c>
      <c r="FG63" s="10" t="s">
        <v>40</v>
      </c>
      <c r="FI63" s="10" t="s">
        <v>40</v>
      </c>
      <c r="FK63" s="10" t="s">
        <v>40</v>
      </c>
      <c r="FM63" s="10" t="s">
        <v>40</v>
      </c>
      <c r="FO63" s="10" t="s">
        <v>40</v>
      </c>
      <c r="FQ63" s="10" t="s">
        <v>40</v>
      </c>
      <c r="FS63" s="10" t="s">
        <v>40</v>
      </c>
      <c r="FU63" s="10" t="s">
        <v>40</v>
      </c>
      <c r="FW63" s="10" t="s">
        <v>40</v>
      </c>
      <c r="FY63" s="10" t="s">
        <v>40</v>
      </c>
      <c r="GA63" s="10" t="s">
        <v>40</v>
      </c>
      <c r="GC63" s="10" t="s">
        <v>40</v>
      </c>
      <c r="GE63" s="10" t="s">
        <v>40</v>
      </c>
      <c r="GG63" s="10" t="s">
        <v>40</v>
      </c>
      <c r="GI63" s="10" t="s">
        <v>40</v>
      </c>
      <c r="GK63" s="10" t="s">
        <v>40</v>
      </c>
      <c r="GM63" s="10" t="s">
        <v>40</v>
      </c>
      <c r="GO63" s="10" t="s">
        <v>40</v>
      </c>
      <c r="GQ63" s="10" t="s">
        <v>40</v>
      </c>
      <c r="GS63" s="10" t="s">
        <v>40</v>
      </c>
      <c r="GU63" s="10" t="s">
        <v>40</v>
      </c>
      <c r="GW63" s="10" t="s">
        <v>40</v>
      </c>
      <c r="GY63" s="10" t="s">
        <v>40</v>
      </c>
      <c r="HA63" s="10" t="s">
        <v>40</v>
      </c>
      <c r="HC63" s="10" t="s">
        <v>40</v>
      </c>
    </row>
    <row r="64" spans="2:211" x14ac:dyDescent="0.2">
      <c r="B64" s="34"/>
    </row>
    <row r="65" spans="2:211" x14ac:dyDescent="0.2">
      <c r="B65" s="37"/>
      <c r="M65" s="25">
        <v>3291.0830747703499</v>
      </c>
      <c r="N65" s="26" t="s">
        <v>40</v>
      </c>
      <c r="O65" s="25">
        <v>3304.844886285538</v>
      </c>
      <c r="Q65" s="25">
        <v>3318.6642434329319</v>
      </c>
      <c r="S65" s="25">
        <v>3332.5413868421742</v>
      </c>
      <c r="U65" s="25">
        <v>3346.476558149111</v>
      </c>
      <c r="W65" s="26" t="s">
        <v>40</v>
      </c>
      <c r="Y65" s="26" t="s">
        <v>40</v>
      </c>
      <c r="AA65" s="26" t="s">
        <v>40</v>
      </c>
      <c r="AC65" s="26" t="s">
        <v>40</v>
      </c>
      <c r="AE65" s="26" t="s">
        <v>40</v>
      </c>
      <c r="AG65" s="26" t="s">
        <v>40</v>
      </c>
      <c r="AK65" s="26" t="s">
        <v>40</v>
      </c>
      <c r="AM65" s="26" t="s">
        <v>40</v>
      </c>
      <c r="AO65" s="26" t="s">
        <v>40</v>
      </c>
      <c r="AQ65" s="26" t="s">
        <v>40</v>
      </c>
      <c r="AS65" s="26" t="s">
        <v>40</v>
      </c>
      <c r="AU65" s="26" t="s">
        <v>40</v>
      </c>
      <c r="AW65" s="26" t="s">
        <v>40</v>
      </c>
      <c r="AY65" s="26" t="s">
        <v>40</v>
      </c>
      <c r="BA65" s="26" t="s">
        <v>40</v>
      </c>
      <c r="BC65" s="26" t="s">
        <v>40</v>
      </c>
      <c r="BE65" s="26" t="s">
        <v>40</v>
      </c>
      <c r="BG65" s="26" t="s">
        <v>40</v>
      </c>
      <c r="BI65" s="26" t="s">
        <v>40</v>
      </c>
      <c r="BK65" s="26" t="s">
        <v>40</v>
      </c>
      <c r="BM65" s="26" t="s">
        <v>40</v>
      </c>
      <c r="BO65" s="26" t="s">
        <v>40</v>
      </c>
      <c r="BQ65" s="26" t="s">
        <v>40</v>
      </c>
      <c r="BS65" s="26" t="s">
        <v>40</v>
      </c>
      <c r="BU65" s="26" t="s">
        <v>40</v>
      </c>
      <c r="BW65" s="26" t="s">
        <v>40</v>
      </c>
      <c r="BY65" s="26" t="s">
        <v>40</v>
      </c>
      <c r="CA65" s="26" t="s">
        <v>40</v>
      </c>
      <c r="CC65" s="26" t="s">
        <v>40</v>
      </c>
      <c r="CE65" s="26" t="s">
        <v>40</v>
      </c>
      <c r="CG65" s="26" t="s">
        <v>40</v>
      </c>
      <c r="CI65" s="26" t="s">
        <v>40</v>
      </c>
      <c r="CK65" s="26" t="s">
        <v>40</v>
      </c>
      <c r="CM65" s="26" t="s">
        <v>40</v>
      </c>
      <c r="CO65" s="26" t="s">
        <v>40</v>
      </c>
      <c r="CQ65" s="26" t="s">
        <v>40</v>
      </c>
      <c r="CS65" s="26" t="s">
        <v>40</v>
      </c>
      <c r="CU65" s="26" t="s">
        <v>40</v>
      </c>
      <c r="CW65" s="26" t="s">
        <v>40</v>
      </c>
      <c r="CY65" s="26" t="s">
        <v>40</v>
      </c>
      <c r="DA65" s="26" t="s">
        <v>40</v>
      </c>
      <c r="DC65" s="26" t="s">
        <v>40</v>
      </c>
      <c r="DE65" s="26" t="s">
        <v>40</v>
      </c>
      <c r="DG65" s="26" t="s">
        <v>40</v>
      </c>
      <c r="DI65" s="26" t="s">
        <v>40</v>
      </c>
      <c r="DK65" s="26" t="s">
        <v>40</v>
      </c>
      <c r="DM65" s="26" t="s">
        <v>40</v>
      </c>
      <c r="DO65" s="26" t="s">
        <v>40</v>
      </c>
      <c r="DQ65" s="26" t="s">
        <v>40</v>
      </c>
      <c r="DS65" s="26" t="s">
        <v>40</v>
      </c>
      <c r="DU65" s="26" t="s">
        <v>40</v>
      </c>
      <c r="DW65" s="26" t="s">
        <v>40</v>
      </c>
      <c r="DY65" s="26" t="s">
        <v>40</v>
      </c>
      <c r="EA65" s="26" t="s">
        <v>40</v>
      </c>
      <c r="EC65" s="26" t="s">
        <v>40</v>
      </c>
      <c r="EE65" s="26" t="s">
        <v>40</v>
      </c>
      <c r="EG65" s="26" t="s">
        <v>40</v>
      </c>
      <c r="EI65" s="26" t="s">
        <v>40</v>
      </c>
      <c r="EK65" s="26" t="s">
        <v>40</v>
      </c>
      <c r="EM65" s="26" t="s">
        <v>40</v>
      </c>
      <c r="EO65" s="26" t="s">
        <v>40</v>
      </c>
      <c r="EQ65" s="26" t="s">
        <v>40</v>
      </c>
      <c r="ES65" s="26" t="s">
        <v>40</v>
      </c>
      <c r="EU65" s="26" t="s">
        <v>40</v>
      </c>
      <c r="EW65" s="26" t="s">
        <v>40</v>
      </c>
      <c r="EY65" s="26" t="s">
        <v>40</v>
      </c>
      <c r="FA65" s="26" t="s">
        <v>40</v>
      </c>
      <c r="FC65" s="26" t="s">
        <v>40</v>
      </c>
      <c r="FE65" s="26" t="s">
        <v>40</v>
      </c>
      <c r="FG65" s="26" t="s">
        <v>40</v>
      </c>
      <c r="FI65" s="26" t="s">
        <v>40</v>
      </c>
      <c r="FK65" s="26" t="s">
        <v>40</v>
      </c>
      <c r="FM65" s="26" t="s">
        <v>40</v>
      </c>
      <c r="FO65" s="26" t="s">
        <v>40</v>
      </c>
      <c r="FQ65" s="26" t="s">
        <v>40</v>
      </c>
      <c r="FS65" s="26" t="s">
        <v>40</v>
      </c>
      <c r="FU65" s="26" t="s">
        <v>40</v>
      </c>
      <c r="FW65" s="26" t="s">
        <v>40</v>
      </c>
      <c r="FY65" s="26" t="s">
        <v>40</v>
      </c>
      <c r="GA65" s="26" t="s">
        <v>40</v>
      </c>
      <c r="GC65" s="26" t="s">
        <v>40</v>
      </c>
      <c r="GE65" s="26" t="s">
        <v>40</v>
      </c>
      <c r="GG65" s="26" t="s">
        <v>40</v>
      </c>
      <c r="GI65" s="26" t="s">
        <v>40</v>
      </c>
      <c r="GK65" s="26" t="s">
        <v>40</v>
      </c>
      <c r="GM65" s="26" t="s">
        <v>40</v>
      </c>
      <c r="GO65" s="26" t="s">
        <v>40</v>
      </c>
      <c r="GQ65" s="26" t="s">
        <v>40</v>
      </c>
      <c r="GS65" s="26" t="s">
        <v>40</v>
      </c>
      <c r="GU65" s="26" t="s">
        <v>40</v>
      </c>
      <c r="GW65" s="26" t="s">
        <v>40</v>
      </c>
      <c r="GY65" s="26" t="s">
        <v>40</v>
      </c>
      <c r="HA65" s="26" t="s">
        <v>40</v>
      </c>
      <c r="HC65" s="26" t="s">
        <v>40</v>
      </c>
    </row>
    <row r="66" spans="2:211" x14ac:dyDescent="0.2">
      <c r="B66" s="37"/>
      <c r="M66" s="24">
        <v>0</v>
      </c>
      <c r="N66" s="10" t="s">
        <v>40</v>
      </c>
      <c r="O66" s="24">
        <v>0</v>
      </c>
      <c r="Q66" s="24">
        <v>0</v>
      </c>
      <c r="S66" s="24">
        <v>0</v>
      </c>
      <c r="U66" s="24">
        <v>0</v>
      </c>
      <c r="W66" s="10" t="s">
        <v>40</v>
      </c>
      <c r="Y66" s="10" t="s">
        <v>40</v>
      </c>
      <c r="AA66" s="10" t="s">
        <v>40</v>
      </c>
      <c r="AC66" s="10" t="s">
        <v>40</v>
      </c>
      <c r="AE66" s="10" t="s">
        <v>40</v>
      </c>
      <c r="AG66" s="10" t="s">
        <v>40</v>
      </c>
      <c r="AK66" s="10" t="s">
        <v>40</v>
      </c>
      <c r="AM66" s="10" t="s">
        <v>40</v>
      </c>
      <c r="AO66" s="10" t="s">
        <v>40</v>
      </c>
      <c r="AQ66" s="10" t="s">
        <v>40</v>
      </c>
      <c r="AS66" s="10" t="s">
        <v>40</v>
      </c>
      <c r="AU66" s="10" t="s">
        <v>40</v>
      </c>
      <c r="AW66" s="10" t="s">
        <v>40</v>
      </c>
      <c r="AY66" s="10" t="s">
        <v>40</v>
      </c>
      <c r="BA66" s="10" t="s">
        <v>40</v>
      </c>
      <c r="BC66" s="10" t="s">
        <v>40</v>
      </c>
      <c r="BE66" s="10" t="s">
        <v>40</v>
      </c>
      <c r="BG66" s="10" t="s">
        <v>40</v>
      </c>
      <c r="BI66" s="10" t="s">
        <v>40</v>
      </c>
      <c r="BK66" s="10" t="s">
        <v>40</v>
      </c>
      <c r="BM66" s="10" t="s">
        <v>40</v>
      </c>
      <c r="BO66" s="10" t="s">
        <v>40</v>
      </c>
      <c r="BQ66" s="10" t="s">
        <v>40</v>
      </c>
      <c r="BS66" s="10" t="s">
        <v>40</v>
      </c>
      <c r="BU66" s="10" t="s">
        <v>40</v>
      </c>
      <c r="BW66" s="10" t="s">
        <v>40</v>
      </c>
      <c r="BY66" s="10" t="s">
        <v>40</v>
      </c>
      <c r="CA66" s="10" t="s">
        <v>40</v>
      </c>
      <c r="CC66" s="10" t="s">
        <v>40</v>
      </c>
      <c r="CE66" s="10" t="s">
        <v>40</v>
      </c>
      <c r="CG66" s="10" t="s">
        <v>40</v>
      </c>
      <c r="CI66" s="10" t="s">
        <v>40</v>
      </c>
      <c r="CK66" s="10" t="s">
        <v>40</v>
      </c>
      <c r="CM66" s="10" t="s">
        <v>40</v>
      </c>
      <c r="CO66" s="10" t="s">
        <v>40</v>
      </c>
      <c r="CQ66" s="10" t="s">
        <v>40</v>
      </c>
      <c r="CS66" s="10" t="s">
        <v>40</v>
      </c>
      <c r="CU66" s="10" t="s">
        <v>40</v>
      </c>
      <c r="CW66" s="10" t="s">
        <v>40</v>
      </c>
      <c r="CY66" s="10" t="s">
        <v>40</v>
      </c>
      <c r="DA66" s="10" t="s">
        <v>40</v>
      </c>
      <c r="DC66" s="10" t="s">
        <v>40</v>
      </c>
      <c r="DE66" s="10" t="s">
        <v>40</v>
      </c>
      <c r="DG66" s="10" t="s">
        <v>40</v>
      </c>
      <c r="DI66" s="10" t="s">
        <v>40</v>
      </c>
      <c r="DK66" s="10" t="s">
        <v>40</v>
      </c>
      <c r="DM66" s="10" t="s">
        <v>40</v>
      </c>
      <c r="DO66" s="10" t="s">
        <v>40</v>
      </c>
      <c r="DQ66" s="10" t="s">
        <v>40</v>
      </c>
      <c r="DS66" s="10" t="s">
        <v>40</v>
      </c>
      <c r="DU66" s="10" t="s">
        <v>40</v>
      </c>
      <c r="DW66" s="10" t="s">
        <v>40</v>
      </c>
      <c r="DY66" s="10" t="s">
        <v>40</v>
      </c>
      <c r="EA66" s="10" t="s">
        <v>40</v>
      </c>
      <c r="EC66" s="10" t="s">
        <v>40</v>
      </c>
      <c r="EE66" s="10" t="s">
        <v>40</v>
      </c>
      <c r="EG66" s="10" t="s">
        <v>40</v>
      </c>
      <c r="EI66" s="10" t="s">
        <v>40</v>
      </c>
      <c r="EK66" s="10" t="s">
        <v>40</v>
      </c>
      <c r="EM66" s="10" t="s">
        <v>40</v>
      </c>
      <c r="EO66" s="10" t="s">
        <v>40</v>
      </c>
      <c r="EQ66" s="10" t="s">
        <v>40</v>
      </c>
      <c r="ES66" s="10" t="s">
        <v>40</v>
      </c>
      <c r="EU66" s="10" t="s">
        <v>40</v>
      </c>
      <c r="EW66" s="10" t="s">
        <v>40</v>
      </c>
      <c r="EY66" s="10" t="s">
        <v>40</v>
      </c>
      <c r="FA66" s="10" t="s">
        <v>40</v>
      </c>
      <c r="FC66" s="10" t="s">
        <v>40</v>
      </c>
      <c r="FE66" s="10" t="s">
        <v>40</v>
      </c>
      <c r="FG66" s="10" t="s">
        <v>40</v>
      </c>
      <c r="FI66" s="10" t="s">
        <v>40</v>
      </c>
      <c r="FK66" s="10" t="s">
        <v>40</v>
      </c>
      <c r="FM66" s="10" t="s">
        <v>40</v>
      </c>
      <c r="FO66" s="10" t="s">
        <v>40</v>
      </c>
      <c r="FQ66" s="10" t="s">
        <v>40</v>
      </c>
      <c r="FS66" s="10" t="s">
        <v>40</v>
      </c>
      <c r="FU66" s="10" t="s">
        <v>40</v>
      </c>
      <c r="FW66" s="10" t="s">
        <v>40</v>
      </c>
      <c r="FY66" s="10" t="s">
        <v>40</v>
      </c>
      <c r="GA66" s="10" t="s">
        <v>40</v>
      </c>
      <c r="GC66" s="10" t="s">
        <v>40</v>
      </c>
      <c r="GE66" s="10" t="s">
        <v>40</v>
      </c>
      <c r="GG66" s="10" t="s">
        <v>40</v>
      </c>
      <c r="GI66" s="10" t="s">
        <v>40</v>
      </c>
      <c r="GK66" s="10" t="s">
        <v>40</v>
      </c>
      <c r="GM66" s="10" t="s">
        <v>40</v>
      </c>
      <c r="GO66" s="10" t="s">
        <v>40</v>
      </c>
      <c r="GQ66" s="10" t="s">
        <v>40</v>
      </c>
      <c r="GS66" s="10" t="s">
        <v>40</v>
      </c>
      <c r="GU66" s="10" t="s">
        <v>40</v>
      </c>
      <c r="GW66" s="10" t="s">
        <v>40</v>
      </c>
      <c r="GY66" s="10" t="s">
        <v>40</v>
      </c>
      <c r="HA66" s="10" t="s">
        <v>40</v>
      </c>
      <c r="HC66" s="10" t="s">
        <v>40</v>
      </c>
    </row>
    <row r="68" spans="2:211" x14ac:dyDescent="0.2">
      <c r="O68" s="25">
        <v>3277.3785692597389</v>
      </c>
      <c r="Q68" s="25">
        <v>3291.0830747703499</v>
      </c>
      <c r="S68" s="25">
        <v>3304.844886285538</v>
      </c>
      <c r="U68" s="25">
        <v>3318.6642434329319</v>
      </c>
      <c r="W68" s="26" t="s">
        <v>40</v>
      </c>
      <c r="Y68" s="26" t="s">
        <v>40</v>
      </c>
      <c r="AA68" s="26" t="s">
        <v>40</v>
      </c>
      <c r="AC68" s="26" t="s">
        <v>40</v>
      </c>
      <c r="AE68" s="26" t="s">
        <v>40</v>
      </c>
      <c r="AG68" s="26" t="s">
        <v>40</v>
      </c>
      <c r="AM68" s="26" t="s">
        <v>40</v>
      </c>
      <c r="AO68" s="26" t="s">
        <v>40</v>
      </c>
      <c r="AQ68" s="26" t="s">
        <v>40</v>
      </c>
      <c r="AS68" s="26" t="s">
        <v>40</v>
      </c>
      <c r="AU68" s="26" t="s">
        <v>40</v>
      </c>
      <c r="AW68" s="26" t="s">
        <v>40</v>
      </c>
      <c r="AY68" s="26" t="s">
        <v>40</v>
      </c>
      <c r="BA68" s="26" t="s">
        <v>40</v>
      </c>
      <c r="BC68" s="26" t="s">
        <v>40</v>
      </c>
      <c r="BE68" s="26" t="s">
        <v>40</v>
      </c>
      <c r="BG68" s="26" t="s">
        <v>40</v>
      </c>
      <c r="BI68" s="26" t="s">
        <v>40</v>
      </c>
      <c r="BK68" s="26" t="s">
        <v>40</v>
      </c>
      <c r="BM68" s="26" t="s">
        <v>40</v>
      </c>
      <c r="BO68" s="26" t="s">
        <v>40</v>
      </c>
      <c r="BQ68" s="26" t="s">
        <v>40</v>
      </c>
      <c r="BS68" s="26" t="s">
        <v>40</v>
      </c>
      <c r="BU68" s="26" t="s">
        <v>40</v>
      </c>
      <c r="BW68" s="26" t="s">
        <v>40</v>
      </c>
      <c r="BY68" s="26" t="s">
        <v>40</v>
      </c>
      <c r="CA68" s="26" t="s">
        <v>40</v>
      </c>
      <c r="CC68" s="26" t="s">
        <v>40</v>
      </c>
      <c r="CE68" s="26" t="s">
        <v>40</v>
      </c>
      <c r="CG68" s="26" t="s">
        <v>40</v>
      </c>
      <c r="CI68" s="26" t="s">
        <v>40</v>
      </c>
      <c r="CK68" s="26" t="s">
        <v>40</v>
      </c>
      <c r="CM68" s="26" t="s">
        <v>40</v>
      </c>
      <c r="CO68" s="26" t="s">
        <v>40</v>
      </c>
      <c r="CQ68" s="26" t="s">
        <v>40</v>
      </c>
      <c r="CS68" s="26" t="s">
        <v>40</v>
      </c>
      <c r="CU68" s="26" t="s">
        <v>40</v>
      </c>
      <c r="CW68" s="26" t="s">
        <v>40</v>
      </c>
      <c r="CY68" s="26" t="s">
        <v>40</v>
      </c>
      <c r="DA68" s="26" t="s">
        <v>40</v>
      </c>
      <c r="DC68" s="26" t="s">
        <v>40</v>
      </c>
      <c r="DE68" s="26" t="s">
        <v>40</v>
      </c>
      <c r="DG68" s="26" t="s">
        <v>40</v>
      </c>
      <c r="DI68" s="26" t="s">
        <v>40</v>
      </c>
      <c r="DK68" s="26" t="s">
        <v>40</v>
      </c>
      <c r="DM68" s="26" t="s">
        <v>40</v>
      </c>
      <c r="DO68" s="26" t="s">
        <v>40</v>
      </c>
      <c r="DQ68" s="26" t="s">
        <v>40</v>
      </c>
      <c r="DS68" s="26" t="s">
        <v>40</v>
      </c>
      <c r="DU68" s="26" t="s">
        <v>40</v>
      </c>
      <c r="DW68" s="26" t="s">
        <v>40</v>
      </c>
      <c r="DY68" s="26" t="s">
        <v>40</v>
      </c>
      <c r="EA68" s="26" t="s">
        <v>40</v>
      </c>
      <c r="EC68" s="26" t="s">
        <v>40</v>
      </c>
      <c r="EE68" s="26" t="s">
        <v>40</v>
      </c>
      <c r="EG68" s="26" t="s">
        <v>40</v>
      </c>
      <c r="EI68" s="26" t="s">
        <v>40</v>
      </c>
      <c r="EK68" s="26" t="s">
        <v>40</v>
      </c>
      <c r="EM68" s="26" t="s">
        <v>40</v>
      </c>
      <c r="EO68" s="26" t="s">
        <v>40</v>
      </c>
      <c r="EQ68" s="26" t="s">
        <v>40</v>
      </c>
      <c r="ES68" s="26" t="s">
        <v>40</v>
      </c>
      <c r="EU68" s="26" t="s">
        <v>40</v>
      </c>
      <c r="EW68" s="26" t="s">
        <v>40</v>
      </c>
      <c r="EY68" s="26" t="s">
        <v>40</v>
      </c>
      <c r="FA68" s="26" t="s">
        <v>40</v>
      </c>
      <c r="FC68" s="26" t="s">
        <v>40</v>
      </c>
      <c r="FE68" s="26" t="s">
        <v>40</v>
      </c>
      <c r="FG68" s="26" t="s">
        <v>40</v>
      </c>
      <c r="FI68" s="26" t="s">
        <v>40</v>
      </c>
      <c r="FK68" s="26" t="s">
        <v>40</v>
      </c>
      <c r="FM68" s="26" t="s">
        <v>40</v>
      </c>
      <c r="FO68" s="26" t="s">
        <v>40</v>
      </c>
      <c r="FQ68" s="26" t="s">
        <v>40</v>
      </c>
      <c r="FS68" s="26" t="s">
        <v>40</v>
      </c>
      <c r="FU68" s="26" t="s">
        <v>40</v>
      </c>
      <c r="FW68" s="26" t="s">
        <v>40</v>
      </c>
      <c r="FY68" s="26" t="s">
        <v>40</v>
      </c>
      <c r="GA68" s="26" t="s">
        <v>40</v>
      </c>
      <c r="GC68" s="26" t="s">
        <v>40</v>
      </c>
      <c r="GE68" s="26" t="s">
        <v>40</v>
      </c>
      <c r="GG68" s="26" t="s">
        <v>40</v>
      </c>
      <c r="GI68" s="26" t="s">
        <v>40</v>
      </c>
      <c r="GK68" s="26" t="s">
        <v>40</v>
      </c>
      <c r="GM68" s="26" t="s">
        <v>40</v>
      </c>
      <c r="GO68" s="26" t="s">
        <v>40</v>
      </c>
      <c r="GQ68" s="26" t="s">
        <v>40</v>
      </c>
      <c r="GS68" s="26" t="s">
        <v>40</v>
      </c>
      <c r="GU68" s="26" t="s">
        <v>40</v>
      </c>
      <c r="GW68" s="26" t="s">
        <v>40</v>
      </c>
      <c r="GY68" s="26" t="s">
        <v>40</v>
      </c>
      <c r="HA68" s="26" t="s">
        <v>40</v>
      </c>
      <c r="HC68" s="26" t="s">
        <v>40</v>
      </c>
    </row>
    <row r="69" spans="2:211" x14ac:dyDescent="0.2">
      <c r="O69" s="24">
        <v>0</v>
      </c>
      <c r="Q69" s="24">
        <v>0</v>
      </c>
      <c r="S69" s="24">
        <v>0</v>
      </c>
      <c r="U69" s="24">
        <v>0</v>
      </c>
      <c r="W69" s="10" t="s">
        <v>40</v>
      </c>
      <c r="Y69" s="10" t="s">
        <v>40</v>
      </c>
      <c r="AA69" s="10" t="s">
        <v>40</v>
      </c>
      <c r="AC69" s="10" t="s">
        <v>40</v>
      </c>
      <c r="AE69" s="10" t="s">
        <v>40</v>
      </c>
      <c r="AG69" s="10" t="s">
        <v>40</v>
      </c>
      <c r="AM69" s="10" t="s">
        <v>40</v>
      </c>
      <c r="AO69" s="10" t="s">
        <v>40</v>
      </c>
      <c r="AQ69" s="10" t="s">
        <v>40</v>
      </c>
      <c r="AS69" s="10" t="s">
        <v>40</v>
      </c>
      <c r="AU69" s="10" t="s">
        <v>40</v>
      </c>
      <c r="AW69" s="10" t="s">
        <v>40</v>
      </c>
      <c r="AY69" s="10" t="s">
        <v>40</v>
      </c>
      <c r="BA69" s="10" t="s">
        <v>40</v>
      </c>
      <c r="BC69" s="10" t="s">
        <v>40</v>
      </c>
      <c r="BE69" s="10" t="s">
        <v>40</v>
      </c>
      <c r="BG69" s="10" t="s">
        <v>40</v>
      </c>
      <c r="BI69" s="10" t="s">
        <v>40</v>
      </c>
      <c r="BK69" s="10" t="s">
        <v>40</v>
      </c>
      <c r="BM69" s="10" t="s">
        <v>40</v>
      </c>
      <c r="BO69" s="10" t="s">
        <v>40</v>
      </c>
      <c r="BQ69" s="10" t="s">
        <v>40</v>
      </c>
      <c r="BS69" s="10" t="s">
        <v>40</v>
      </c>
      <c r="BU69" s="10" t="s">
        <v>40</v>
      </c>
      <c r="BW69" s="10" t="s">
        <v>40</v>
      </c>
      <c r="BY69" s="10" t="s">
        <v>40</v>
      </c>
      <c r="CA69" s="10" t="s">
        <v>40</v>
      </c>
      <c r="CC69" s="10" t="s">
        <v>40</v>
      </c>
      <c r="CE69" s="10" t="s">
        <v>40</v>
      </c>
      <c r="CG69" s="10" t="s">
        <v>40</v>
      </c>
      <c r="CI69" s="10" t="s">
        <v>40</v>
      </c>
      <c r="CK69" s="10" t="s">
        <v>40</v>
      </c>
      <c r="CM69" s="10" t="s">
        <v>40</v>
      </c>
      <c r="CO69" s="10" t="s">
        <v>40</v>
      </c>
      <c r="CQ69" s="10" t="s">
        <v>40</v>
      </c>
      <c r="CS69" s="10" t="s">
        <v>40</v>
      </c>
      <c r="CU69" s="10" t="s">
        <v>40</v>
      </c>
      <c r="CW69" s="10" t="s">
        <v>40</v>
      </c>
      <c r="CY69" s="10" t="s">
        <v>40</v>
      </c>
      <c r="DA69" s="10" t="s">
        <v>40</v>
      </c>
      <c r="DC69" s="10" t="s">
        <v>40</v>
      </c>
      <c r="DE69" s="10" t="s">
        <v>40</v>
      </c>
      <c r="DG69" s="10" t="s">
        <v>40</v>
      </c>
      <c r="DI69" s="10" t="s">
        <v>40</v>
      </c>
      <c r="DK69" s="10" t="s">
        <v>40</v>
      </c>
      <c r="DM69" s="10" t="s">
        <v>40</v>
      </c>
      <c r="DO69" s="10" t="s">
        <v>40</v>
      </c>
      <c r="DQ69" s="10" t="s">
        <v>40</v>
      </c>
      <c r="DS69" s="10" t="s">
        <v>40</v>
      </c>
      <c r="DU69" s="10" t="s">
        <v>40</v>
      </c>
      <c r="DW69" s="10" t="s">
        <v>40</v>
      </c>
      <c r="DY69" s="10" t="s">
        <v>40</v>
      </c>
      <c r="EA69" s="10" t="s">
        <v>40</v>
      </c>
      <c r="EC69" s="10" t="s">
        <v>40</v>
      </c>
      <c r="EE69" s="10" t="s">
        <v>40</v>
      </c>
      <c r="EG69" s="10" t="s">
        <v>40</v>
      </c>
      <c r="EI69" s="10" t="s">
        <v>40</v>
      </c>
      <c r="EK69" s="10" t="s">
        <v>40</v>
      </c>
      <c r="EM69" s="10" t="s">
        <v>40</v>
      </c>
      <c r="EO69" s="10" t="s">
        <v>40</v>
      </c>
      <c r="EQ69" s="10" t="s">
        <v>40</v>
      </c>
      <c r="ES69" s="10" t="s">
        <v>40</v>
      </c>
      <c r="EU69" s="10" t="s">
        <v>40</v>
      </c>
      <c r="EW69" s="10" t="s">
        <v>40</v>
      </c>
      <c r="EY69" s="10" t="s">
        <v>40</v>
      </c>
      <c r="FA69" s="10" t="s">
        <v>40</v>
      </c>
      <c r="FC69" s="10" t="s">
        <v>40</v>
      </c>
      <c r="FE69" s="10" t="s">
        <v>40</v>
      </c>
      <c r="FG69" s="10" t="s">
        <v>40</v>
      </c>
      <c r="FI69" s="10" t="s">
        <v>40</v>
      </c>
      <c r="FK69" s="10" t="s">
        <v>40</v>
      </c>
      <c r="FM69" s="10" t="s">
        <v>40</v>
      </c>
      <c r="FO69" s="10" t="s">
        <v>40</v>
      </c>
      <c r="FQ69" s="10" t="s">
        <v>40</v>
      </c>
      <c r="FS69" s="10" t="s">
        <v>40</v>
      </c>
      <c r="FU69" s="10" t="s">
        <v>40</v>
      </c>
      <c r="FW69" s="10" t="s">
        <v>40</v>
      </c>
      <c r="FY69" s="10" t="s">
        <v>40</v>
      </c>
      <c r="GA69" s="10" t="s">
        <v>40</v>
      </c>
      <c r="GC69" s="10" t="s">
        <v>40</v>
      </c>
      <c r="GE69" s="10" t="s">
        <v>40</v>
      </c>
      <c r="GG69" s="10" t="s">
        <v>40</v>
      </c>
      <c r="GI69" s="10" t="s">
        <v>40</v>
      </c>
      <c r="GK69" s="10" t="s">
        <v>40</v>
      </c>
      <c r="GM69" s="10" t="s">
        <v>40</v>
      </c>
      <c r="GO69" s="10" t="s">
        <v>40</v>
      </c>
      <c r="GQ69" s="10" t="s">
        <v>40</v>
      </c>
      <c r="GS69" s="10" t="s">
        <v>40</v>
      </c>
      <c r="GU69" s="10" t="s">
        <v>40</v>
      </c>
      <c r="GW69" s="10" t="s">
        <v>40</v>
      </c>
      <c r="GY69" s="10" t="s">
        <v>40</v>
      </c>
      <c r="HA69" s="10" t="s">
        <v>40</v>
      </c>
      <c r="HC69" s="10" t="s">
        <v>40</v>
      </c>
    </row>
    <row r="71" spans="2:211" x14ac:dyDescent="0.2">
      <c r="Q71" s="25">
        <v>3263.7311311239173</v>
      </c>
      <c r="S71" s="25">
        <v>3277.3785692597389</v>
      </c>
      <c r="U71" s="25">
        <v>3291.0830747703499</v>
      </c>
      <c r="W71" s="26" t="s">
        <v>40</v>
      </c>
      <c r="Y71" s="26" t="s">
        <v>40</v>
      </c>
      <c r="AA71" s="26" t="s">
        <v>40</v>
      </c>
      <c r="AC71" s="26" t="s">
        <v>40</v>
      </c>
      <c r="AE71" s="26" t="s">
        <v>40</v>
      </c>
      <c r="AG71" s="26" t="s">
        <v>40</v>
      </c>
      <c r="AO71" s="26" t="s">
        <v>40</v>
      </c>
      <c r="AQ71" s="26" t="s">
        <v>40</v>
      </c>
      <c r="AS71" s="26" t="s">
        <v>40</v>
      </c>
      <c r="AU71" s="26" t="s">
        <v>40</v>
      </c>
      <c r="AW71" s="26" t="s">
        <v>40</v>
      </c>
      <c r="AY71" s="26" t="s">
        <v>40</v>
      </c>
      <c r="BA71" s="26" t="s">
        <v>40</v>
      </c>
      <c r="BC71" s="26" t="s">
        <v>40</v>
      </c>
      <c r="BE71" s="26" t="s">
        <v>40</v>
      </c>
      <c r="BG71" s="26" t="s">
        <v>40</v>
      </c>
      <c r="BI71" s="26" t="s">
        <v>40</v>
      </c>
      <c r="BK71" s="26" t="s">
        <v>40</v>
      </c>
      <c r="BM71" s="26" t="s">
        <v>40</v>
      </c>
      <c r="BO71" s="26" t="s">
        <v>40</v>
      </c>
      <c r="BQ71" s="26" t="s">
        <v>40</v>
      </c>
      <c r="BS71" s="26" t="s">
        <v>40</v>
      </c>
      <c r="BU71" s="26" t="s">
        <v>40</v>
      </c>
      <c r="BW71" s="26" t="s">
        <v>40</v>
      </c>
      <c r="BY71" s="26" t="s">
        <v>40</v>
      </c>
      <c r="CA71" s="26" t="s">
        <v>40</v>
      </c>
      <c r="CC71" s="26" t="s">
        <v>40</v>
      </c>
      <c r="CE71" s="26" t="s">
        <v>40</v>
      </c>
      <c r="CG71" s="26" t="s">
        <v>40</v>
      </c>
      <c r="CI71" s="26" t="s">
        <v>40</v>
      </c>
      <c r="CK71" s="26" t="s">
        <v>40</v>
      </c>
      <c r="CM71" s="26" t="s">
        <v>40</v>
      </c>
      <c r="CO71" s="26" t="s">
        <v>40</v>
      </c>
      <c r="CQ71" s="26" t="s">
        <v>40</v>
      </c>
      <c r="CS71" s="26" t="s">
        <v>40</v>
      </c>
      <c r="CU71" s="26" t="s">
        <v>40</v>
      </c>
      <c r="CW71" s="26" t="s">
        <v>40</v>
      </c>
      <c r="CY71" s="26" t="s">
        <v>40</v>
      </c>
      <c r="DA71" s="26" t="s">
        <v>40</v>
      </c>
      <c r="DC71" s="26" t="s">
        <v>40</v>
      </c>
      <c r="DE71" s="26" t="s">
        <v>40</v>
      </c>
      <c r="DG71" s="26" t="s">
        <v>40</v>
      </c>
      <c r="DI71" s="26" t="s">
        <v>40</v>
      </c>
      <c r="DK71" s="26" t="s">
        <v>40</v>
      </c>
      <c r="DM71" s="26" t="s">
        <v>40</v>
      </c>
      <c r="DO71" s="26" t="s">
        <v>40</v>
      </c>
      <c r="DQ71" s="26" t="s">
        <v>40</v>
      </c>
      <c r="DS71" s="26" t="s">
        <v>40</v>
      </c>
      <c r="DU71" s="26" t="s">
        <v>40</v>
      </c>
      <c r="DW71" s="26" t="s">
        <v>40</v>
      </c>
      <c r="DY71" s="26" t="s">
        <v>40</v>
      </c>
      <c r="EA71" s="26" t="s">
        <v>40</v>
      </c>
      <c r="EC71" s="26" t="s">
        <v>40</v>
      </c>
      <c r="EE71" s="26" t="s">
        <v>40</v>
      </c>
      <c r="EG71" s="26" t="s">
        <v>40</v>
      </c>
      <c r="EI71" s="26" t="s">
        <v>40</v>
      </c>
      <c r="EK71" s="26" t="s">
        <v>40</v>
      </c>
      <c r="EM71" s="26" t="s">
        <v>40</v>
      </c>
      <c r="EO71" s="26" t="s">
        <v>40</v>
      </c>
      <c r="EQ71" s="26" t="s">
        <v>40</v>
      </c>
      <c r="ES71" s="26" t="s">
        <v>40</v>
      </c>
      <c r="EU71" s="26" t="s">
        <v>40</v>
      </c>
      <c r="EW71" s="26" t="s">
        <v>40</v>
      </c>
      <c r="EY71" s="26" t="s">
        <v>40</v>
      </c>
      <c r="FA71" s="26" t="s">
        <v>40</v>
      </c>
      <c r="FC71" s="26" t="s">
        <v>40</v>
      </c>
      <c r="FE71" s="26" t="s">
        <v>40</v>
      </c>
      <c r="FG71" s="26" t="s">
        <v>40</v>
      </c>
      <c r="FI71" s="26" t="s">
        <v>40</v>
      </c>
      <c r="FK71" s="26" t="s">
        <v>40</v>
      </c>
      <c r="FM71" s="26" t="s">
        <v>40</v>
      </c>
      <c r="FO71" s="26" t="s">
        <v>40</v>
      </c>
      <c r="FQ71" s="26" t="s">
        <v>40</v>
      </c>
      <c r="FS71" s="26" t="s">
        <v>40</v>
      </c>
      <c r="FU71" s="26" t="s">
        <v>40</v>
      </c>
      <c r="FW71" s="26" t="s">
        <v>40</v>
      </c>
      <c r="FY71" s="26" t="s">
        <v>40</v>
      </c>
      <c r="GA71" s="26" t="s">
        <v>40</v>
      </c>
      <c r="GC71" s="26" t="s">
        <v>40</v>
      </c>
      <c r="GE71" s="26" t="s">
        <v>40</v>
      </c>
      <c r="GG71" s="26" t="s">
        <v>40</v>
      </c>
      <c r="GI71" s="26" t="s">
        <v>40</v>
      </c>
      <c r="GK71" s="26" t="s">
        <v>40</v>
      </c>
      <c r="GM71" s="26" t="s">
        <v>40</v>
      </c>
      <c r="GO71" s="26" t="s">
        <v>40</v>
      </c>
      <c r="GQ71" s="26" t="s">
        <v>40</v>
      </c>
      <c r="GS71" s="26" t="s">
        <v>40</v>
      </c>
      <c r="GU71" s="26" t="s">
        <v>40</v>
      </c>
      <c r="GW71" s="26" t="s">
        <v>40</v>
      </c>
      <c r="GY71" s="26" t="s">
        <v>40</v>
      </c>
      <c r="HA71" s="26" t="s">
        <v>40</v>
      </c>
      <c r="HC71" s="26" t="s">
        <v>40</v>
      </c>
    </row>
    <row r="72" spans="2:211" x14ac:dyDescent="0.2">
      <c r="Q72" s="24">
        <v>0</v>
      </c>
      <c r="S72" s="24">
        <v>0</v>
      </c>
      <c r="U72" s="24">
        <v>0</v>
      </c>
      <c r="W72" s="10" t="s">
        <v>40</v>
      </c>
      <c r="Y72" s="10" t="s">
        <v>40</v>
      </c>
      <c r="AA72" s="10" t="s">
        <v>40</v>
      </c>
      <c r="AC72" s="10" t="s">
        <v>40</v>
      </c>
      <c r="AE72" s="10" t="s">
        <v>40</v>
      </c>
      <c r="AG72" s="10" t="s">
        <v>40</v>
      </c>
      <c r="AO72" s="10" t="s">
        <v>40</v>
      </c>
      <c r="AQ72" s="10" t="s">
        <v>40</v>
      </c>
      <c r="AS72" s="10" t="s">
        <v>40</v>
      </c>
      <c r="AU72" s="10" t="s">
        <v>40</v>
      </c>
      <c r="AW72" s="10" t="s">
        <v>40</v>
      </c>
      <c r="AY72" s="10" t="s">
        <v>40</v>
      </c>
      <c r="BA72" s="10" t="s">
        <v>40</v>
      </c>
      <c r="BC72" s="10" t="s">
        <v>40</v>
      </c>
      <c r="BE72" s="10" t="s">
        <v>40</v>
      </c>
      <c r="BG72" s="10" t="s">
        <v>40</v>
      </c>
      <c r="BI72" s="10" t="s">
        <v>40</v>
      </c>
      <c r="BK72" s="10" t="s">
        <v>40</v>
      </c>
      <c r="BM72" s="10" t="s">
        <v>40</v>
      </c>
      <c r="BO72" s="10" t="s">
        <v>40</v>
      </c>
      <c r="BQ72" s="10" t="s">
        <v>40</v>
      </c>
      <c r="BS72" s="10" t="s">
        <v>40</v>
      </c>
      <c r="BU72" s="10" t="s">
        <v>40</v>
      </c>
      <c r="BW72" s="10" t="s">
        <v>40</v>
      </c>
      <c r="BY72" s="10" t="s">
        <v>40</v>
      </c>
      <c r="CA72" s="10" t="s">
        <v>40</v>
      </c>
      <c r="CC72" s="10" t="s">
        <v>40</v>
      </c>
      <c r="CE72" s="10" t="s">
        <v>40</v>
      </c>
      <c r="CG72" s="10" t="s">
        <v>40</v>
      </c>
      <c r="CI72" s="10" t="s">
        <v>40</v>
      </c>
      <c r="CK72" s="10" t="s">
        <v>40</v>
      </c>
      <c r="CM72" s="10" t="s">
        <v>40</v>
      </c>
      <c r="CO72" s="10" t="s">
        <v>40</v>
      </c>
      <c r="CQ72" s="10" t="s">
        <v>40</v>
      </c>
      <c r="CS72" s="10" t="s">
        <v>40</v>
      </c>
      <c r="CU72" s="10" t="s">
        <v>40</v>
      </c>
      <c r="CW72" s="10" t="s">
        <v>40</v>
      </c>
      <c r="CY72" s="10" t="s">
        <v>40</v>
      </c>
      <c r="DA72" s="10" t="s">
        <v>40</v>
      </c>
      <c r="DC72" s="10" t="s">
        <v>40</v>
      </c>
      <c r="DE72" s="10" t="s">
        <v>40</v>
      </c>
      <c r="DG72" s="10" t="s">
        <v>40</v>
      </c>
      <c r="DI72" s="10" t="s">
        <v>40</v>
      </c>
      <c r="DK72" s="10" t="s">
        <v>40</v>
      </c>
      <c r="DM72" s="10" t="s">
        <v>40</v>
      </c>
      <c r="DO72" s="10" t="s">
        <v>40</v>
      </c>
      <c r="DQ72" s="10" t="s">
        <v>40</v>
      </c>
      <c r="DS72" s="10" t="s">
        <v>40</v>
      </c>
      <c r="DU72" s="10" t="s">
        <v>40</v>
      </c>
      <c r="DW72" s="10" t="s">
        <v>40</v>
      </c>
      <c r="DY72" s="10" t="s">
        <v>40</v>
      </c>
      <c r="EA72" s="10" t="s">
        <v>40</v>
      </c>
      <c r="EC72" s="10" t="s">
        <v>40</v>
      </c>
      <c r="EE72" s="10" t="s">
        <v>40</v>
      </c>
      <c r="EG72" s="10" t="s">
        <v>40</v>
      </c>
      <c r="EI72" s="10" t="s">
        <v>40</v>
      </c>
      <c r="EK72" s="10" t="s">
        <v>40</v>
      </c>
      <c r="EM72" s="10" t="s">
        <v>40</v>
      </c>
      <c r="EO72" s="10" t="s">
        <v>40</v>
      </c>
      <c r="EQ72" s="10" t="s">
        <v>40</v>
      </c>
      <c r="ES72" s="10" t="s">
        <v>40</v>
      </c>
      <c r="EU72" s="10" t="s">
        <v>40</v>
      </c>
      <c r="EW72" s="10" t="s">
        <v>40</v>
      </c>
      <c r="EY72" s="10" t="s">
        <v>40</v>
      </c>
      <c r="FA72" s="10" t="s">
        <v>40</v>
      </c>
      <c r="FC72" s="10" t="s">
        <v>40</v>
      </c>
      <c r="FE72" s="10" t="s">
        <v>40</v>
      </c>
      <c r="FG72" s="10" t="s">
        <v>40</v>
      </c>
      <c r="FI72" s="10" t="s">
        <v>40</v>
      </c>
      <c r="FK72" s="10" t="s">
        <v>40</v>
      </c>
      <c r="FM72" s="10" t="s">
        <v>40</v>
      </c>
      <c r="FO72" s="10" t="s">
        <v>40</v>
      </c>
      <c r="FQ72" s="10" t="s">
        <v>40</v>
      </c>
      <c r="FS72" s="10" t="s">
        <v>40</v>
      </c>
      <c r="FU72" s="10" t="s">
        <v>40</v>
      </c>
      <c r="FW72" s="10" t="s">
        <v>40</v>
      </c>
      <c r="FY72" s="10" t="s">
        <v>40</v>
      </c>
      <c r="GA72" s="10" t="s">
        <v>40</v>
      </c>
      <c r="GC72" s="10" t="s">
        <v>40</v>
      </c>
      <c r="GE72" s="10" t="s">
        <v>40</v>
      </c>
      <c r="GG72" s="10" t="s">
        <v>40</v>
      </c>
      <c r="GI72" s="10" t="s">
        <v>40</v>
      </c>
      <c r="GK72" s="10" t="s">
        <v>40</v>
      </c>
      <c r="GM72" s="10" t="s">
        <v>40</v>
      </c>
      <c r="GO72" s="10" t="s">
        <v>40</v>
      </c>
      <c r="GQ72" s="10" t="s">
        <v>40</v>
      </c>
      <c r="GS72" s="10" t="s">
        <v>40</v>
      </c>
      <c r="GU72" s="10" t="s">
        <v>40</v>
      </c>
      <c r="GW72" s="10" t="s">
        <v>40</v>
      </c>
      <c r="GY72" s="10" t="s">
        <v>40</v>
      </c>
      <c r="HA72" s="10" t="s">
        <v>40</v>
      </c>
      <c r="HC72" s="10" t="s">
        <v>40</v>
      </c>
    </row>
    <row r="74" spans="2:211" x14ac:dyDescent="0.2">
      <c r="S74" s="25">
        <v>3250.1405227267828</v>
      </c>
      <c r="U74" s="25">
        <v>3263.7311311239173</v>
      </c>
      <c r="W74" s="26" t="s">
        <v>40</v>
      </c>
      <c r="Y74" s="26" t="s">
        <v>40</v>
      </c>
      <c r="AA74" s="26" t="s">
        <v>40</v>
      </c>
      <c r="AC74" s="26" t="s">
        <v>40</v>
      </c>
      <c r="AE74" s="26" t="s">
        <v>40</v>
      </c>
      <c r="AG74" s="26" t="s">
        <v>40</v>
      </c>
      <c r="AQ74" s="26" t="s">
        <v>40</v>
      </c>
      <c r="AS74" s="26" t="s">
        <v>40</v>
      </c>
      <c r="AU74" s="26" t="s">
        <v>40</v>
      </c>
      <c r="AW74" s="26" t="s">
        <v>40</v>
      </c>
      <c r="AY74" s="26" t="s">
        <v>40</v>
      </c>
      <c r="BA74" s="26" t="s">
        <v>40</v>
      </c>
      <c r="BC74" s="26" t="s">
        <v>40</v>
      </c>
      <c r="BE74" s="26" t="s">
        <v>40</v>
      </c>
      <c r="BG74" s="26" t="s">
        <v>40</v>
      </c>
      <c r="BI74" s="26" t="s">
        <v>40</v>
      </c>
      <c r="BK74" s="26" t="s">
        <v>40</v>
      </c>
      <c r="BM74" s="26" t="s">
        <v>40</v>
      </c>
      <c r="BO74" s="26" t="s">
        <v>40</v>
      </c>
      <c r="BQ74" s="26" t="s">
        <v>40</v>
      </c>
      <c r="BS74" s="26" t="s">
        <v>40</v>
      </c>
      <c r="BU74" s="26" t="s">
        <v>40</v>
      </c>
      <c r="BW74" s="26" t="s">
        <v>40</v>
      </c>
      <c r="BY74" s="26" t="s">
        <v>40</v>
      </c>
      <c r="CA74" s="26" t="s">
        <v>40</v>
      </c>
      <c r="CC74" s="26" t="s">
        <v>40</v>
      </c>
      <c r="CE74" s="26" t="s">
        <v>40</v>
      </c>
      <c r="CG74" s="26" t="s">
        <v>40</v>
      </c>
      <c r="CI74" s="26" t="s">
        <v>40</v>
      </c>
      <c r="CK74" s="26" t="s">
        <v>40</v>
      </c>
      <c r="CM74" s="26" t="s">
        <v>40</v>
      </c>
      <c r="CO74" s="26" t="s">
        <v>40</v>
      </c>
      <c r="CQ74" s="26" t="s">
        <v>40</v>
      </c>
      <c r="CS74" s="26" t="s">
        <v>40</v>
      </c>
      <c r="CU74" s="26" t="s">
        <v>40</v>
      </c>
      <c r="CW74" s="26" t="s">
        <v>40</v>
      </c>
      <c r="CY74" s="26" t="s">
        <v>40</v>
      </c>
      <c r="DA74" s="26" t="s">
        <v>40</v>
      </c>
      <c r="DC74" s="26" t="s">
        <v>40</v>
      </c>
      <c r="DE74" s="26" t="s">
        <v>40</v>
      </c>
      <c r="DG74" s="26" t="s">
        <v>40</v>
      </c>
      <c r="DI74" s="26" t="s">
        <v>40</v>
      </c>
      <c r="DK74" s="26" t="s">
        <v>40</v>
      </c>
      <c r="DM74" s="26" t="s">
        <v>40</v>
      </c>
      <c r="DO74" s="26" t="s">
        <v>40</v>
      </c>
      <c r="DQ74" s="26" t="s">
        <v>40</v>
      </c>
      <c r="DS74" s="26" t="s">
        <v>40</v>
      </c>
      <c r="DU74" s="26" t="s">
        <v>40</v>
      </c>
      <c r="DW74" s="26" t="s">
        <v>40</v>
      </c>
      <c r="DY74" s="26" t="s">
        <v>40</v>
      </c>
      <c r="EA74" s="26" t="s">
        <v>40</v>
      </c>
      <c r="EC74" s="26" t="s">
        <v>40</v>
      </c>
      <c r="EE74" s="26" t="s">
        <v>40</v>
      </c>
      <c r="EG74" s="26" t="s">
        <v>40</v>
      </c>
      <c r="EI74" s="26" t="s">
        <v>40</v>
      </c>
      <c r="EK74" s="26" t="s">
        <v>40</v>
      </c>
      <c r="EM74" s="26" t="s">
        <v>40</v>
      </c>
      <c r="EO74" s="26" t="s">
        <v>40</v>
      </c>
      <c r="EQ74" s="26" t="s">
        <v>40</v>
      </c>
      <c r="ES74" s="26" t="s">
        <v>40</v>
      </c>
      <c r="EU74" s="26" t="s">
        <v>40</v>
      </c>
      <c r="EW74" s="26" t="s">
        <v>40</v>
      </c>
      <c r="EY74" s="26" t="s">
        <v>40</v>
      </c>
      <c r="FA74" s="26" t="s">
        <v>40</v>
      </c>
      <c r="FC74" s="26" t="s">
        <v>40</v>
      </c>
      <c r="FE74" s="26" t="s">
        <v>40</v>
      </c>
      <c r="FG74" s="26" t="s">
        <v>40</v>
      </c>
      <c r="FI74" s="26" t="s">
        <v>40</v>
      </c>
      <c r="FK74" s="26" t="s">
        <v>40</v>
      </c>
      <c r="FM74" s="26" t="s">
        <v>40</v>
      </c>
      <c r="FO74" s="26" t="s">
        <v>40</v>
      </c>
      <c r="FQ74" s="26" t="s">
        <v>40</v>
      </c>
      <c r="FS74" s="26" t="s">
        <v>40</v>
      </c>
      <c r="FU74" s="26" t="s">
        <v>40</v>
      </c>
      <c r="FW74" s="26" t="s">
        <v>40</v>
      </c>
      <c r="FY74" s="26" t="s">
        <v>40</v>
      </c>
      <c r="GA74" s="26" t="s">
        <v>40</v>
      </c>
      <c r="GC74" s="26" t="s">
        <v>40</v>
      </c>
      <c r="GE74" s="26" t="s">
        <v>40</v>
      </c>
      <c r="GG74" s="26" t="s">
        <v>40</v>
      </c>
      <c r="GI74" s="26" t="s">
        <v>40</v>
      </c>
      <c r="GK74" s="26" t="s">
        <v>40</v>
      </c>
      <c r="GM74" s="26" t="s">
        <v>40</v>
      </c>
      <c r="GO74" s="26" t="s">
        <v>40</v>
      </c>
      <c r="GQ74" s="26" t="s">
        <v>40</v>
      </c>
      <c r="GS74" s="26" t="s">
        <v>40</v>
      </c>
      <c r="GU74" s="26" t="s">
        <v>40</v>
      </c>
      <c r="GW74" s="26" t="s">
        <v>40</v>
      </c>
      <c r="GY74" s="26" t="s">
        <v>40</v>
      </c>
      <c r="HA74" s="26" t="s">
        <v>40</v>
      </c>
      <c r="HC74" s="26" t="s">
        <v>40</v>
      </c>
    </row>
    <row r="75" spans="2:211" x14ac:dyDescent="0.2">
      <c r="S75" s="24">
        <v>0</v>
      </c>
      <c r="U75" s="24">
        <v>0</v>
      </c>
      <c r="W75" s="10" t="s">
        <v>40</v>
      </c>
      <c r="Y75" s="10" t="s">
        <v>40</v>
      </c>
      <c r="AA75" s="10" t="s">
        <v>40</v>
      </c>
      <c r="AC75" s="10" t="s">
        <v>40</v>
      </c>
      <c r="AE75" s="10" t="s">
        <v>40</v>
      </c>
      <c r="AG75" s="10" t="s">
        <v>40</v>
      </c>
      <c r="AQ75" s="10" t="s">
        <v>40</v>
      </c>
      <c r="AS75" s="10" t="s">
        <v>40</v>
      </c>
      <c r="AU75" s="10" t="s">
        <v>40</v>
      </c>
      <c r="AW75" s="10" t="s">
        <v>40</v>
      </c>
      <c r="AY75" s="10" t="s">
        <v>40</v>
      </c>
      <c r="BA75" s="10" t="s">
        <v>40</v>
      </c>
      <c r="BC75" s="10" t="s">
        <v>40</v>
      </c>
      <c r="BE75" s="10" t="s">
        <v>40</v>
      </c>
      <c r="BG75" s="10" t="s">
        <v>40</v>
      </c>
      <c r="BI75" s="10" t="s">
        <v>40</v>
      </c>
      <c r="BK75" s="10" t="s">
        <v>40</v>
      </c>
      <c r="BM75" s="10" t="s">
        <v>40</v>
      </c>
      <c r="BO75" s="10" t="s">
        <v>40</v>
      </c>
      <c r="BQ75" s="10" t="s">
        <v>40</v>
      </c>
      <c r="BS75" s="10" t="s">
        <v>40</v>
      </c>
      <c r="BU75" s="10" t="s">
        <v>40</v>
      </c>
      <c r="BW75" s="10" t="s">
        <v>40</v>
      </c>
      <c r="BY75" s="10" t="s">
        <v>40</v>
      </c>
      <c r="CA75" s="10" t="s">
        <v>40</v>
      </c>
      <c r="CC75" s="10" t="s">
        <v>40</v>
      </c>
      <c r="CE75" s="10" t="s">
        <v>40</v>
      </c>
      <c r="CG75" s="10" t="s">
        <v>40</v>
      </c>
      <c r="CI75" s="10" t="s">
        <v>40</v>
      </c>
      <c r="CK75" s="10" t="s">
        <v>40</v>
      </c>
      <c r="CM75" s="10" t="s">
        <v>40</v>
      </c>
      <c r="CO75" s="10" t="s">
        <v>40</v>
      </c>
      <c r="CQ75" s="10" t="s">
        <v>40</v>
      </c>
      <c r="CS75" s="10" t="s">
        <v>40</v>
      </c>
      <c r="CU75" s="10" t="s">
        <v>40</v>
      </c>
      <c r="CW75" s="10" t="s">
        <v>40</v>
      </c>
      <c r="CY75" s="10" t="s">
        <v>40</v>
      </c>
      <c r="DA75" s="10" t="s">
        <v>40</v>
      </c>
      <c r="DC75" s="10" t="s">
        <v>40</v>
      </c>
      <c r="DE75" s="10" t="s">
        <v>40</v>
      </c>
      <c r="DG75" s="10" t="s">
        <v>40</v>
      </c>
      <c r="DI75" s="10" t="s">
        <v>40</v>
      </c>
      <c r="DK75" s="10" t="s">
        <v>40</v>
      </c>
      <c r="DM75" s="10" t="s">
        <v>40</v>
      </c>
      <c r="DO75" s="10" t="s">
        <v>40</v>
      </c>
      <c r="DQ75" s="10" t="s">
        <v>40</v>
      </c>
      <c r="DS75" s="10" t="s">
        <v>40</v>
      </c>
      <c r="DU75" s="10" t="s">
        <v>40</v>
      </c>
      <c r="DW75" s="10" t="s">
        <v>40</v>
      </c>
      <c r="DY75" s="10" t="s">
        <v>40</v>
      </c>
      <c r="EA75" s="10" t="s">
        <v>40</v>
      </c>
      <c r="EC75" s="10" t="s">
        <v>40</v>
      </c>
      <c r="EE75" s="10" t="s">
        <v>40</v>
      </c>
      <c r="EG75" s="10" t="s">
        <v>40</v>
      </c>
      <c r="EI75" s="10" t="s">
        <v>40</v>
      </c>
      <c r="EK75" s="10" t="s">
        <v>40</v>
      </c>
      <c r="EM75" s="10" t="s">
        <v>40</v>
      </c>
      <c r="EO75" s="10" t="s">
        <v>40</v>
      </c>
      <c r="EQ75" s="10" t="s">
        <v>40</v>
      </c>
      <c r="ES75" s="10" t="s">
        <v>40</v>
      </c>
      <c r="EU75" s="10" t="s">
        <v>40</v>
      </c>
      <c r="EW75" s="10" t="s">
        <v>40</v>
      </c>
      <c r="EY75" s="10" t="s">
        <v>40</v>
      </c>
      <c r="FA75" s="10" t="s">
        <v>40</v>
      </c>
      <c r="FC75" s="10" t="s">
        <v>40</v>
      </c>
      <c r="FE75" s="10" t="s">
        <v>40</v>
      </c>
      <c r="FG75" s="10" t="s">
        <v>40</v>
      </c>
      <c r="FI75" s="10" t="s">
        <v>40</v>
      </c>
      <c r="FK75" s="10" t="s">
        <v>40</v>
      </c>
      <c r="FM75" s="10" t="s">
        <v>40</v>
      </c>
      <c r="FO75" s="10" t="s">
        <v>40</v>
      </c>
      <c r="FQ75" s="10" t="s">
        <v>40</v>
      </c>
      <c r="FS75" s="10" t="s">
        <v>40</v>
      </c>
      <c r="FU75" s="10" t="s">
        <v>40</v>
      </c>
      <c r="FW75" s="10" t="s">
        <v>40</v>
      </c>
      <c r="FY75" s="10" t="s">
        <v>40</v>
      </c>
      <c r="GA75" s="10" t="s">
        <v>40</v>
      </c>
      <c r="GC75" s="10" t="s">
        <v>40</v>
      </c>
      <c r="GE75" s="10" t="s">
        <v>40</v>
      </c>
      <c r="GG75" s="10" t="s">
        <v>40</v>
      </c>
      <c r="GI75" s="10" t="s">
        <v>40</v>
      </c>
      <c r="GK75" s="10" t="s">
        <v>40</v>
      </c>
      <c r="GM75" s="10" t="s">
        <v>40</v>
      </c>
      <c r="GO75" s="10" t="s">
        <v>40</v>
      </c>
      <c r="GQ75" s="10" t="s">
        <v>40</v>
      </c>
      <c r="GS75" s="10" t="s">
        <v>40</v>
      </c>
      <c r="GU75" s="10" t="s">
        <v>40</v>
      </c>
      <c r="GW75" s="10" t="s">
        <v>40</v>
      </c>
      <c r="GY75" s="10" t="s">
        <v>40</v>
      </c>
      <c r="HA75" s="10" t="s">
        <v>40</v>
      </c>
      <c r="HC75" s="10" t="s">
        <v>40</v>
      </c>
    </row>
    <row r="77" spans="2:211" x14ac:dyDescent="0.2">
      <c r="U77" s="25">
        <v>3236.6065074217827</v>
      </c>
      <c r="W77" s="26" t="s">
        <v>40</v>
      </c>
      <c r="Y77" s="26" t="s">
        <v>40</v>
      </c>
      <c r="AA77" s="26" t="s">
        <v>40</v>
      </c>
      <c r="AC77" s="26" t="s">
        <v>40</v>
      </c>
      <c r="AE77" s="26" t="s">
        <v>40</v>
      </c>
      <c r="AG77" s="26" t="s">
        <v>40</v>
      </c>
      <c r="AS77" s="26" t="s">
        <v>40</v>
      </c>
      <c r="AU77" s="26" t="s">
        <v>40</v>
      </c>
      <c r="AW77" s="26" t="s">
        <v>40</v>
      </c>
      <c r="AY77" s="26" t="s">
        <v>40</v>
      </c>
      <c r="BA77" s="26" t="s">
        <v>40</v>
      </c>
      <c r="BC77" s="26" t="s">
        <v>40</v>
      </c>
      <c r="BE77" s="26" t="s">
        <v>40</v>
      </c>
      <c r="BG77" s="26" t="s">
        <v>40</v>
      </c>
      <c r="BI77" s="26" t="s">
        <v>40</v>
      </c>
      <c r="BK77" s="26" t="s">
        <v>40</v>
      </c>
      <c r="BM77" s="26" t="s">
        <v>40</v>
      </c>
      <c r="BO77" s="26" t="s">
        <v>40</v>
      </c>
      <c r="BQ77" s="26" t="s">
        <v>40</v>
      </c>
      <c r="BS77" s="26" t="s">
        <v>40</v>
      </c>
      <c r="BU77" s="26" t="s">
        <v>40</v>
      </c>
      <c r="BW77" s="26" t="s">
        <v>40</v>
      </c>
      <c r="BY77" s="26" t="s">
        <v>40</v>
      </c>
      <c r="CA77" s="26" t="s">
        <v>40</v>
      </c>
      <c r="CC77" s="26" t="s">
        <v>40</v>
      </c>
      <c r="CE77" s="26" t="s">
        <v>40</v>
      </c>
      <c r="CG77" s="26" t="s">
        <v>40</v>
      </c>
      <c r="CI77" s="26" t="s">
        <v>40</v>
      </c>
      <c r="CK77" s="26" t="s">
        <v>40</v>
      </c>
      <c r="CM77" s="26" t="s">
        <v>40</v>
      </c>
      <c r="CO77" s="26" t="s">
        <v>40</v>
      </c>
      <c r="CQ77" s="26" t="s">
        <v>40</v>
      </c>
      <c r="CS77" s="26" t="s">
        <v>40</v>
      </c>
      <c r="CU77" s="26" t="s">
        <v>40</v>
      </c>
      <c r="CW77" s="26" t="s">
        <v>40</v>
      </c>
      <c r="CY77" s="26" t="s">
        <v>40</v>
      </c>
      <c r="DA77" s="26" t="s">
        <v>40</v>
      </c>
      <c r="DC77" s="26" t="s">
        <v>40</v>
      </c>
      <c r="DE77" s="26" t="s">
        <v>40</v>
      </c>
      <c r="DG77" s="26" t="s">
        <v>40</v>
      </c>
      <c r="DI77" s="26" t="s">
        <v>40</v>
      </c>
      <c r="DK77" s="26" t="s">
        <v>40</v>
      </c>
      <c r="DM77" s="26" t="s">
        <v>40</v>
      </c>
      <c r="DO77" s="26" t="s">
        <v>40</v>
      </c>
      <c r="DQ77" s="26" t="s">
        <v>40</v>
      </c>
      <c r="DS77" s="26" t="s">
        <v>40</v>
      </c>
      <c r="DU77" s="26" t="s">
        <v>40</v>
      </c>
      <c r="DW77" s="26" t="s">
        <v>40</v>
      </c>
      <c r="DY77" s="26" t="s">
        <v>40</v>
      </c>
      <c r="EA77" s="26" t="s">
        <v>40</v>
      </c>
      <c r="EC77" s="26" t="s">
        <v>40</v>
      </c>
      <c r="EE77" s="26" t="s">
        <v>40</v>
      </c>
      <c r="EG77" s="26" t="s">
        <v>40</v>
      </c>
      <c r="EI77" s="26" t="s">
        <v>40</v>
      </c>
      <c r="EK77" s="26" t="s">
        <v>40</v>
      </c>
      <c r="EM77" s="26" t="s">
        <v>40</v>
      </c>
      <c r="EO77" s="26" t="s">
        <v>40</v>
      </c>
      <c r="EQ77" s="26" t="s">
        <v>40</v>
      </c>
      <c r="ES77" s="26" t="s">
        <v>40</v>
      </c>
      <c r="EU77" s="26" t="s">
        <v>40</v>
      </c>
      <c r="EW77" s="26" t="s">
        <v>40</v>
      </c>
      <c r="EY77" s="26" t="s">
        <v>40</v>
      </c>
      <c r="FA77" s="26" t="s">
        <v>40</v>
      </c>
      <c r="FC77" s="26" t="s">
        <v>40</v>
      </c>
      <c r="FE77" s="26" t="s">
        <v>40</v>
      </c>
      <c r="FG77" s="26" t="s">
        <v>40</v>
      </c>
      <c r="FI77" s="26" t="s">
        <v>40</v>
      </c>
      <c r="FK77" s="26" t="s">
        <v>40</v>
      </c>
      <c r="FM77" s="26" t="s">
        <v>40</v>
      </c>
      <c r="FO77" s="26" t="s">
        <v>40</v>
      </c>
      <c r="FQ77" s="26" t="s">
        <v>40</v>
      </c>
      <c r="FS77" s="26" t="s">
        <v>40</v>
      </c>
      <c r="FU77" s="26" t="s">
        <v>40</v>
      </c>
      <c r="FW77" s="26" t="s">
        <v>40</v>
      </c>
      <c r="FY77" s="26" t="s">
        <v>40</v>
      </c>
      <c r="GA77" s="26" t="s">
        <v>40</v>
      </c>
      <c r="GC77" s="26" t="s">
        <v>40</v>
      </c>
      <c r="GE77" s="26" t="s">
        <v>40</v>
      </c>
      <c r="GG77" s="26" t="s">
        <v>40</v>
      </c>
      <c r="GI77" s="26" t="s">
        <v>40</v>
      </c>
      <c r="GK77" s="26" t="s">
        <v>40</v>
      </c>
      <c r="GM77" s="26" t="s">
        <v>40</v>
      </c>
      <c r="GO77" s="26" t="s">
        <v>40</v>
      </c>
      <c r="GQ77" s="26" t="s">
        <v>40</v>
      </c>
      <c r="GS77" s="26" t="s">
        <v>40</v>
      </c>
      <c r="GU77" s="26" t="s">
        <v>40</v>
      </c>
      <c r="GW77" s="26" t="s">
        <v>40</v>
      </c>
      <c r="GY77" s="26" t="s">
        <v>40</v>
      </c>
      <c r="HA77" s="26" t="s">
        <v>40</v>
      </c>
      <c r="HC77" s="26" t="s">
        <v>40</v>
      </c>
    </row>
    <row r="78" spans="2:211" x14ac:dyDescent="0.2">
      <c r="U78" s="24">
        <v>0</v>
      </c>
      <c r="W78" s="10" t="s">
        <v>40</v>
      </c>
      <c r="Y78" s="10" t="s">
        <v>40</v>
      </c>
      <c r="AA78" s="10" t="s">
        <v>40</v>
      </c>
      <c r="AC78" s="10" t="s">
        <v>40</v>
      </c>
      <c r="AE78" s="10" t="s">
        <v>40</v>
      </c>
      <c r="AG78" s="10" t="s">
        <v>40</v>
      </c>
      <c r="AS78" s="10" t="s">
        <v>40</v>
      </c>
      <c r="AU78" s="10" t="s">
        <v>40</v>
      </c>
      <c r="AW78" s="10" t="s">
        <v>40</v>
      </c>
      <c r="AY78" s="10" t="s">
        <v>40</v>
      </c>
      <c r="BA78" s="10" t="s">
        <v>40</v>
      </c>
      <c r="BC78" s="10" t="s">
        <v>40</v>
      </c>
      <c r="BE78" s="10" t="s">
        <v>40</v>
      </c>
      <c r="BG78" s="10" t="s">
        <v>40</v>
      </c>
      <c r="BI78" s="10" t="s">
        <v>40</v>
      </c>
      <c r="BK78" s="10" t="s">
        <v>40</v>
      </c>
      <c r="BM78" s="10" t="s">
        <v>40</v>
      </c>
      <c r="BO78" s="10" t="s">
        <v>40</v>
      </c>
      <c r="BQ78" s="10" t="s">
        <v>40</v>
      </c>
      <c r="BS78" s="10" t="s">
        <v>40</v>
      </c>
      <c r="BU78" s="10" t="s">
        <v>40</v>
      </c>
      <c r="BW78" s="10" t="s">
        <v>40</v>
      </c>
      <c r="BY78" s="10" t="s">
        <v>40</v>
      </c>
      <c r="CA78" s="10" t="s">
        <v>40</v>
      </c>
      <c r="CC78" s="10" t="s">
        <v>40</v>
      </c>
      <c r="CE78" s="10" t="s">
        <v>40</v>
      </c>
      <c r="CG78" s="10" t="s">
        <v>40</v>
      </c>
      <c r="CI78" s="10" t="s">
        <v>40</v>
      </c>
      <c r="CK78" s="10" t="s">
        <v>40</v>
      </c>
      <c r="CM78" s="10" t="s">
        <v>40</v>
      </c>
      <c r="CO78" s="10" t="s">
        <v>40</v>
      </c>
      <c r="CQ78" s="10" t="s">
        <v>40</v>
      </c>
      <c r="CS78" s="10" t="s">
        <v>40</v>
      </c>
      <c r="CU78" s="10" t="s">
        <v>40</v>
      </c>
      <c r="CW78" s="10" t="s">
        <v>40</v>
      </c>
      <c r="CY78" s="10" t="s">
        <v>40</v>
      </c>
      <c r="DA78" s="10" t="s">
        <v>40</v>
      </c>
      <c r="DC78" s="10" t="s">
        <v>40</v>
      </c>
      <c r="DE78" s="10" t="s">
        <v>40</v>
      </c>
      <c r="DG78" s="10" t="s">
        <v>40</v>
      </c>
      <c r="DI78" s="10" t="s">
        <v>40</v>
      </c>
      <c r="DK78" s="10" t="s">
        <v>40</v>
      </c>
      <c r="DM78" s="10" t="s">
        <v>40</v>
      </c>
      <c r="DO78" s="10" t="s">
        <v>40</v>
      </c>
      <c r="DQ78" s="10" t="s">
        <v>40</v>
      </c>
      <c r="DS78" s="10" t="s">
        <v>40</v>
      </c>
      <c r="DU78" s="10" t="s">
        <v>40</v>
      </c>
      <c r="DW78" s="10" t="s">
        <v>40</v>
      </c>
      <c r="DY78" s="10" t="s">
        <v>40</v>
      </c>
      <c r="EA78" s="10" t="s">
        <v>40</v>
      </c>
      <c r="EC78" s="10" t="s">
        <v>40</v>
      </c>
      <c r="EE78" s="10" t="s">
        <v>40</v>
      </c>
      <c r="EG78" s="10" t="s">
        <v>40</v>
      </c>
      <c r="EI78" s="10" t="s">
        <v>40</v>
      </c>
      <c r="EK78" s="10" t="s">
        <v>40</v>
      </c>
      <c r="EM78" s="10" t="s">
        <v>40</v>
      </c>
      <c r="EO78" s="10" t="s">
        <v>40</v>
      </c>
      <c r="EQ78" s="10" t="s">
        <v>40</v>
      </c>
      <c r="ES78" s="10" t="s">
        <v>40</v>
      </c>
      <c r="EU78" s="10" t="s">
        <v>40</v>
      </c>
      <c r="EW78" s="10" t="s">
        <v>40</v>
      </c>
      <c r="EY78" s="10" t="s">
        <v>40</v>
      </c>
      <c r="FA78" s="10" t="s">
        <v>40</v>
      </c>
      <c r="FC78" s="10" t="s">
        <v>40</v>
      </c>
      <c r="FE78" s="10" t="s">
        <v>40</v>
      </c>
      <c r="FG78" s="10" t="s">
        <v>40</v>
      </c>
      <c r="FI78" s="10" t="s">
        <v>40</v>
      </c>
      <c r="FK78" s="10" t="s">
        <v>40</v>
      </c>
      <c r="FM78" s="10" t="s">
        <v>40</v>
      </c>
      <c r="FO78" s="10" t="s">
        <v>40</v>
      </c>
      <c r="FQ78" s="10" t="s">
        <v>40</v>
      </c>
      <c r="FS78" s="10" t="s">
        <v>40</v>
      </c>
      <c r="FU78" s="10" t="s">
        <v>40</v>
      </c>
      <c r="FW78" s="10" t="s">
        <v>40</v>
      </c>
      <c r="FY78" s="10" t="s">
        <v>40</v>
      </c>
      <c r="GA78" s="10" t="s">
        <v>40</v>
      </c>
      <c r="GC78" s="10" t="s">
        <v>40</v>
      </c>
      <c r="GE78" s="10" t="s">
        <v>40</v>
      </c>
      <c r="GG78" s="10" t="s">
        <v>40</v>
      </c>
      <c r="GI78" s="10" t="s">
        <v>40</v>
      </c>
      <c r="GK78" s="10" t="s">
        <v>40</v>
      </c>
      <c r="GM78" s="10" t="s">
        <v>40</v>
      </c>
      <c r="GO78" s="10" t="s">
        <v>40</v>
      </c>
      <c r="GQ78" s="10" t="s">
        <v>40</v>
      </c>
      <c r="GS78" s="10" t="s">
        <v>40</v>
      </c>
      <c r="GU78" s="10" t="s">
        <v>40</v>
      </c>
      <c r="GW78" s="10" t="s">
        <v>40</v>
      </c>
      <c r="GY78" s="10" t="s">
        <v>40</v>
      </c>
      <c r="HA78" s="10" t="s">
        <v>40</v>
      </c>
      <c r="HC78" s="10" t="s">
        <v>40</v>
      </c>
    </row>
    <row r="80" spans="2:211" x14ac:dyDescent="0.2">
      <c r="W80" s="26" t="s">
        <v>40</v>
      </c>
      <c r="Y80" s="26" t="s">
        <v>40</v>
      </c>
      <c r="AA80" s="26" t="s">
        <v>40</v>
      </c>
      <c r="AC80" s="26" t="s">
        <v>40</v>
      </c>
      <c r="AE80" s="26" t="s">
        <v>40</v>
      </c>
      <c r="AG80" s="26" t="s">
        <v>40</v>
      </c>
      <c r="AU80" s="26" t="s">
        <v>40</v>
      </c>
      <c r="AW80" s="26" t="s">
        <v>40</v>
      </c>
      <c r="AY80" s="26" t="s">
        <v>40</v>
      </c>
      <c r="BA80" s="26" t="s">
        <v>40</v>
      </c>
      <c r="BC80" s="26" t="s">
        <v>40</v>
      </c>
      <c r="BE80" s="26" t="s">
        <v>40</v>
      </c>
      <c r="BG80" s="26" t="s">
        <v>40</v>
      </c>
      <c r="BI80" s="26" t="s">
        <v>40</v>
      </c>
      <c r="BK80" s="26" t="s">
        <v>40</v>
      </c>
      <c r="BM80" s="26" t="s">
        <v>40</v>
      </c>
      <c r="BO80" s="26" t="s">
        <v>40</v>
      </c>
      <c r="BQ80" s="26" t="s">
        <v>40</v>
      </c>
      <c r="BS80" s="26" t="s">
        <v>40</v>
      </c>
      <c r="BU80" s="26" t="s">
        <v>40</v>
      </c>
      <c r="BW80" s="26" t="s">
        <v>40</v>
      </c>
      <c r="BY80" s="26" t="s">
        <v>40</v>
      </c>
      <c r="CA80" s="26" t="s">
        <v>40</v>
      </c>
      <c r="CC80" s="26" t="s">
        <v>40</v>
      </c>
      <c r="CE80" s="26" t="s">
        <v>40</v>
      </c>
      <c r="CG80" s="26" t="s">
        <v>40</v>
      </c>
      <c r="CI80" s="26" t="s">
        <v>40</v>
      </c>
      <c r="CK80" s="26" t="s">
        <v>40</v>
      </c>
      <c r="CM80" s="26" t="s">
        <v>40</v>
      </c>
      <c r="CO80" s="26" t="s">
        <v>40</v>
      </c>
      <c r="CQ80" s="26" t="s">
        <v>40</v>
      </c>
      <c r="CS80" s="26" t="s">
        <v>40</v>
      </c>
      <c r="CU80" s="26" t="s">
        <v>40</v>
      </c>
      <c r="CW80" s="26" t="s">
        <v>40</v>
      </c>
      <c r="CY80" s="26" t="s">
        <v>40</v>
      </c>
      <c r="DA80" s="26" t="s">
        <v>40</v>
      </c>
      <c r="DC80" s="26" t="s">
        <v>40</v>
      </c>
      <c r="DE80" s="26" t="s">
        <v>40</v>
      </c>
      <c r="DG80" s="26" t="s">
        <v>40</v>
      </c>
      <c r="DI80" s="26" t="s">
        <v>40</v>
      </c>
      <c r="DK80" s="26" t="s">
        <v>40</v>
      </c>
      <c r="DM80" s="26" t="s">
        <v>40</v>
      </c>
      <c r="DO80" s="26" t="s">
        <v>40</v>
      </c>
      <c r="DQ80" s="26" t="s">
        <v>40</v>
      </c>
      <c r="DS80" s="26" t="s">
        <v>40</v>
      </c>
      <c r="DU80" s="26" t="s">
        <v>40</v>
      </c>
      <c r="DW80" s="26" t="s">
        <v>40</v>
      </c>
      <c r="DY80" s="26" t="s">
        <v>40</v>
      </c>
      <c r="EA80" s="26" t="s">
        <v>40</v>
      </c>
      <c r="EC80" s="26" t="s">
        <v>40</v>
      </c>
      <c r="EE80" s="26" t="s">
        <v>40</v>
      </c>
      <c r="EG80" s="26" t="s">
        <v>40</v>
      </c>
      <c r="EI80" s="26" t="s">
        <v>40</v>
      </c>
      <c r="EK80" s="26" t="s">
        <v>40</v>
      </c>
      <c r="EM80" s="26" t="s">
        <v>40</v>
      </c>
      <c r="EO80" s="26" t="s">
        <v>40</v>
      </c>
      <c r="EQ80" s="26" t="s">
        <v>40</v>
      </c>
      <c r="ES80" s="26" t="s">
        <v>40</v>
      </c>
      <c r="EU80" s="26" t="s">
        <v>40</v>
      </c>
      <c r="EW80" s="26" t="s">
        <v>40</v>
      </c>
      <c r="EY80" s="26" t="s">
        <v>40</v>
      </c>
      <c r="FA80" s="26" t="s">
        <v>40</v>
      </c>
      <c r="FC80" s="26" t="s">
        <v>40</v>
      </c>
      <c r="FE80" s="26" t="s">
        <v>40</v>
      </c>
      <c r="FG80" s="26" t="s">
        <v>40</v>
      </c>
      <c r="FI80" s="26" t="s">
        <v>40</v>
      </c>
      <c r="FK80" s="26" t="s">
        <v>40</v>
      </c>
      <c r="FM80" s="26" t="s">
        <v>40</v>
      </c>
      <c r="FO80" s="26" t="s">
        <v>40</v>
      </c>
      <c r="FQ80" s="26" t="s">
        <v>40</v>
      </c>
      <c r="FS80" s="26" t="s">
        <v>40</v>
      </c>
      <c r="FU80" s="26" t="s">
        <v>40</v>
      </c>
      <c r="FW80" s="26" t="s">
        <v>40</v>
      </c>
      <c r="FY80" s="26" t="s">
        <v>40</v>
      </c>
      <c r="GA80" s="26" t="s">
        <v>40</v>
      </c>
      <c r="GC80" s="26" t="s">
        <v>40</v>
      </c>
      <c r="GE80" s="26" t="s">
        <v>40</v>
      </c>
      <c r="GG80" s="26" t="s">
        <v>40</v>
      </c>
      <c r="GI80" s="26" t="s">
        <v>40</v>
      </c>
      <c r="GK80" s="26" t="s">
        <v>40</v>
      </c>
      <c r="GM80" s="26" t="s">
        <v>40</v>
      </c>
      <c r="GO80" s="26" t="s">
        <v>40</v>
      </c>
      <c r="GQ80" s="26" t="s">
        <v>40</v>
      </c>
      <c r="GS80" s="26" t="s">
        <v>40</v>
      </c>
      <c r="GU80" s="26" t="s">
        <v>40</v>
      </c>
      <c r="GW80" s="26" t="s">
        <v>40</v>
      </c>
      <c r="GY80" s="26" t="s">
        <v>40</v>
      </c>
      <c r="HA80" s="26" t="s">
        <v>40</v>
      </c>
      <c r="HC80" s="26" t="s">
        <v>40</v>
      </c>
    </row>
    <row r="81" spans="23:211" x14ac:dyDescent="0.2">
      <c r="W81" s="10" t="s">
        <v>40</v>
      </c>
      <c r="Y81" s="10" t="s">
        <v>40</v>
      </c>
      <c r="AA81" s="10" t="s">
        <v>40</v>
      </c>
      <c r="AC81" s="10" t="s">
        <v>40</v>
      </c>
      <c r="AE81" s="10" t="s">
        <v>40</v>
      </c>
      <c r="AG81" s="10" t="s">
        <v>40</v>
      </c>
      <c r="AU81" s="10" t="s">
        <v>40</v>
      </c>
      <c r="AW81" s="10" t="s">
        <v>40</v>
      </c>
      <c r="AY81" s="10" t="s">
        <v>40</v>
      </c>
      <c r="BA81" s="10" t="s">
        <v>40</v>
      </c>
      <c r="BC81" s="10" t="s">
        <v>40</v>
      </c>
      <c r="BE81" s="10" t="s">
        <v>40</v>
      </c>
      <c r="BG81" s="10" t="s">
        <v>40</v>
      </c>
      <c r="BI81" s="10" t="s">
        <v>40</v>
      </c>
      <c r="BK81" s="10" t="s">
        <v>40</v>
      </c>
      <c r="BM81" s="10" t="s">
        <v>40</v>
      </c>
      <c r="BO81" s="10" t="s">
        <v>40</v>
      </c>
      <c r="BQ81" s="10" t="s">
        <v>40</v>
      </c>
      <c r="BS81" s="10" t="s">
        <v>40</v>
      </c>
      <c r="BU81" s="10" t="s">
        <v>40</v>
      </c>
      <c r="BW81" s="10" t="s">
        <v>40</v>
      </c>
      <c r="BY81" s="10" t="s">
        <v>40</v>
      </c>
      <c r="CA81" s="10" t="s">
        <v>40</v>
      </c>
      <c r="CC81" s="10" t="s">
        <v>40</v>
      </c>
      <c r="CE81" s="10" t="s">
        <v>40</v>
      </c>
      <c r="CG81" s="10" t="s">
        <v>40</v>
      </c>
      <c r="CI81" s="10" t="s">
        <v>40</v>
      </c>
      <c r="CK81" s="10" t="s">
        <v>40</v>
      </c>
      <c r="CM81" s="10" t="s">
        <v>40</v>
      </c>
      <c r="CO81" s="10" t="s">
        <v>40</v>
      </c>
      <c r="CQ81" s="10" t="s">
        <v>40</v>
      </c>
      <c r="CS81" s="10" t="s">
        <v>40</v>
      </c>
      <c r="CU81" s="10" t="s">
        <v>40</v>
      </c>
      <c r="CW81" s="10" t="s">
        <v>40</v>
      </c>
      <c r="CY81" s="10" t="s">
        <v>40</v>
      </c>
      <c r="DA81" s="10" t="s">
        <v>40</v>
      </c>
      <c r="DC81" s="10" t="s">
        <v>40</v>
      </c>
      <c r="DE81" s="10" t="s">
        <v>40</v>
      </c>
      <c r="DG81" s="10" t="s">
        <v>40</v>
      </c>
      <c r="DI81" s="10" t="s">
        <v>40</v>
      </c>
      <c r="DK81" s="10" t="s">
        <v>40</v>
      </c>
      <c r="DM81" s="10" t="s">
        <v>40</v>
      </c>
      <c r="DO81" s="10" t="s">
        <v>40</v>
      </c>
      <c r="DQ81" s="10" t="s">
        <v>40</v>
      </c>
      <c r="DS81" s="10" t="s">
        <v>40</v>
      </c>
      <c r="DU81" s="10" t="s">
        <v>40</v>
      </c>
      <c r="DW81" s="10" t="s">
        <v>40</v>
      </c>
      <c r="DY81" s="10" t="s">
        <v>40</v>
      </c>
      <c r="EA81" s="10" t="s">
        <v>40</v>
      </c>
      <c r="EC81" s="10" t="s">
        <v>40</v>
      </c>
      <c r="EE81" s="10" t="s">
        <v>40</v>
      </c>
      <c r="EG81" s="10" t="s">
        <v>40</v>
      </c>
      <c r="EI81" s="10" t="s">
        <v>40</v>
      </c>
      <c r="EK81" s="10" t="s">
        <v>40</v>
      </c>
      <c r="EM81" s="10" t="s">
        <v>40</v>
      </c>
      <c r="EO81" s="10" t="s">
        <v>40</v>
      </c>
      <c r="EQ81" s="10" t="s">
        <v>40</v>
      </c>
      <c r="ES81" s="10" t="s">
        <v>40</v>
      </c>
      <c r="EU81" s="10" t="s">
        <v>40</v>
      </c>
      <c r="EW81" s="10" t="s">
        <v>40</v>
      </c>
      <c r="EY81" s="10" t="s">
        <v>40</v>
      </c>
      <c r="FA81" s="10" t="s">
        <v>40</v>
      </c>
      <c r="FC81" s="10" t="s">
        <v>40</v>
      </c>
      <c r="FE81" s="10" t="s">
        <v>40</v>
      </c>
      <c r="FG81" s="10" t="s">
        <v>40</v>
      </c>
      <c r="FI81" s="10" t="s">
        <v>40</v>
      </c>
      <c r="FK81" s="10" t="s">
        <v>40</v>
      </c>
      <c r="FM81" s="10" t="s">
        <v>40</v>
      </c>
      <c r="FO81" s="10" t="s">
        <v>40</v>
      </c>
      <c r="FQ81" s="10" t="s">
        <v>40</v>
      </c>
      <c r="FS81" s="10" t="s">
        <v>40</v>
      </c>
      <c r="FU81" s="10" t="s">
        <v>40</v>
      </c>
      <c r="FW81" s="10" t="s">
        <v>40</v>
      </c>
      <c r="FY81" s="10" t="s">
        <v>40</v>
      </c>
      <c r="GA81" s="10" t="s">
        <v>40</v>
      </c>
      <c r="GC81" s="10" t="s">
        <v>40</v>
      </c>
      <c r="GE81" s="10" t="s">
        <v>40</v>
      </c>
      <c r="GG81" s="10" t="s">
        <v>40</v>
      </c>
      <c r="GI81" s="10" t="s">
        <v>40</v>
      </c>
      <c r="GK81" s="10" t="s">
        <v>40</v>
      </c>
      <c r="GM81" s="10" t="s">
        <v>40</v>
      </c>
      <c r="GO81" s="10" t="s">
        <v>40</v>
      </c>
      <c r="GQ81" s="10" t="s">
        <v>40</v>
      </c>
      <c r="GS81" s="10" t="s">
        <v>40</v>
      </c>
      <c r="GU81" s="10" t="s">
        <v>40</v>
      </c>
      <c r="GW81" s="10" t="s">
        <v>40</v>
      </c>
      <c r="GY81" s="10" t="s">
        <v>40</v>
      </c>
      <c r="HA81" s="10" t="s">
        <v>40</v>
      </c>
      <c r="HC81" s="10" t="s">
        <v>40</v>
      </c>
    </row>
    <row r="83" spans="23:211" x14ac:dyDescent="0.2">
      <c r="Y83" s="26" t="s">
        <v>40</v>
      </c>
      <c r="AA83" s="26" t="s">
        <v>40</v>
      </c>
      <c r="AC83" s="26" t="s">
        <v>40</v>
      </c>
      <c r="AE83" s="26" t="s">
        <v>40</v>
      </c>
      <c r="AG83" s="26" t="s">
        <v>40</v>
      </c>
      <c r="AW83" s="26" t="s">
        <v>40</v>
      </c>
      <c r="AY83" s="26" t="s">
        <v>40</v>
      </c>
      <c r="BA83" s="26" t="s">
        <v>40</v>
      </c>
      <c r="BC83" s="26" t="s">
        <v>40</v>
      </c>
      <c r="BE83" s="26" t="s">
        <v>40</v>
      </c>
      <c r="BG83" s="26" t="s">
        <v>40</v>
      </c>
      <c r="BI83" s="26" t="s">
        <v>40</v>
      </c>
      <c r="BK83" s="26" t="s">
        <v>40</v>
      </c>
      <c r="BM83" s="26" t="s">
        <v>40</v>
      </c>
      <c r="BO83" s="26" t="s">
        <v>40</v>
      </c>
      <c r="BQ83" s="26" t="s">
        <v>40</v>
      </c>
      <c r="BS83" s="26" t="s">
        <v>40</v>
      </c>
      <c r="BU83" s="26" t="s">
        <v>40</v>
      </c>
      <c r="BW83" s="26" t="s">
        <v>40</v>
      </c>
      <c r="BY83" s="26" t="s">
        <v>40</v>
      </c>
      <c r="CA83" s="26" t="s">
        <v>40</v>
      </c>
      <c r="CC83" s="26" t="s">
        <v>40</v>
      </c>
      <c r="CE83" s="26" t="s">
        <v>40</v>
      </c>
      <c r="CG83" s="26" t="s">
        <v>40</v>
      </c>
      <c r="CI83" s="26" t="s">
        <v>40</v>
      </c>
      <c r="CK83" s="26" t="s">
        <v>40</v>
      </c>
      <c r="CM83" s="26" t="s">
        <v>40</v>
      </c>
      <c r="CO83" s="26" t="s">
        <v>40</v>
      </c>
      <c r="CQ83" s="26" t="s">
        <v>40</v>
      </c>
      <c r="CS83" s="26" t="s">
        <v>40</v>
      </c>
      <c r="CU83" s="26" t="s">
        <v>40</v>
      </c>
      <c r="CW83" s="26" t="s">
        <v>40</v>
      </c>
      <c r="CY83" s="26" t="s">
        <v>40</v>
      </c>
      <c r="DA83" s="26" t="s">
        <v>40</v>
      </c>
      <c r="DC83" s="26" t="s">
        <v>40</v>
      </c>
      <c r="DE83" s="26" t="s">
        <v>40</v>
      </c>
      <c r="DG83" s="26" t="s">
        <v>40</v>
      </c>
      <c r="DI83" s="26" t="s">
        <v>40</v>
      </c>
      <c r="DK83" s="26" t="s">
        <v>40</v>
      </c>
      <c r="DM83" s="26" t="s">
        <v>40</v>
      </c>
      <c r="DO83" s="26" t="s">
        <v>40</v>
      </c>
      <c r="DQ83" s="26" t="s">
        <v>40</v>
      </c>
      <c r="DS83" s="26" t="s">
        <v>40</v>
      </c>
      <c r="DU83" s="26" t="s">
        <v>40</v>
      </c>
      <c r="DW83" s="26" t="s">
        <v>40</v>
      </c>
      <c r="DY83" s="26" t="s">
        <v>40</v>
      </c>
      <c r="EA83" s="26" t="s">
        <v>40</v>
      </c>
      <c r="EC83" s="26" t="s">
        <v>40</v>
      </c>
      <c r="EE83" s="26" t="s">
        <v>40</v>
      </c>
      <c r="EG83" s="26" t="s">
        <v>40</v>
      </c>
      <c r="EI83" s="26" t="s">
        <v>40</v>
      </c>
      <c r="EK83" s="26" t="s">
        <v>40</v>
      </c>
      <c r="EM83" s="26" t="s">
        <v>40</v>
      </c>
      <c r="EO83" s="26" t="s">
        <v>40</v>
      </c>
      <c r="EQ83" s="26" t="s">
        <v>40</v>
      </c>
      <c r="ES83" s="26" t="s">
        <v>40</v>
      </c>
      <c r="EU83" s="26" t="s">
        <v>40</v>
      </c>
      <c r="EW83" s="26" t="s">
        <v>40</v>
      </c>
      <c r="EY83" s="26" t="s">
        <v>40</v>
      </c>
      <c r="FA83" s="26" t="s">
        <v>40</v>
      </c>
      <c r="FC83" s="26" t="s">
        <v>40</v>
      </c>
      <c r="FE83" s="26" t="s">
        <v>40</v>
      </c>
      <c r="FG83" s="26" t="s">
        <v>40</v>
      </c>
      <c r="FI83" s="26" t="s">
        <v>40</v>
      </c>
      <c r="FK83" s="26" t="s">
        <v>40</v>
      </c>
      <c r="FM83" s="26" t="s">
        <v>40</v>
      </c>
      <c r="FO83" s="26" t="s">
        <v>40</v>
      </c>
      <c r="FQ83" s="26" t="s">
        <v>40</v>
      </c>
      <c r="FS83" s="26" t="s">
        <v>40</v>
      </c>
      <c r="FU83" s="26" t="s">
        <v>40</v>
      </c>
      <c r="FW83" s="26" t="s">
        <v>40</v>
      </c>
      <c r="FY83" s="26" t="s">
        <v>40</v>
      </c>
      <c r="GA83" s="26" t="s">
        <v>40</v>
      </c>
      <c r="GC83" s="26" t="s">
        <v>40</v>
      </c>
      <c r="GE83" s="26" t="s">
        <v>40</v>
      </c>
      <c r="GG83" s="26" t="s">
        <v>40</v>
      </c>
      <c r="GI83" s="26" t="s">
        <v>40</v>
      </c>
      <c r="GK83" s="26" t="s">
        <v>40</v>
      </c>
      <c r="GM83" s="26" t="s">
        <v>40</v>
      </c>
      <c r="GO83" s="26" t="s">
        <v>40</v>
      </c>
      <c r="GQ83" s="26" t="s">
        <v>40</v>
      </c>
      <c r="GS83" s="26" t="s">
        <v>40</v>
      </c>
      <c r="GU83" s="26" t="s">
        <v>40</v>
      </c>
      <c r="GW83" s="26" t="s">
        <v>40</v>
      </c>
      <c r="GY83" s="26" t="s">
        <v>40</v>
      </c>
      <c r="HA83" s="26" t="s">
        <v>40</v>
      </c>
      <c r="HC83" s="26" t="s">
        <v>40</v>
      </c>
    </row>
    <row r="84" spans="23:211" x14ac:dyDescent="0.2">
      <c r="Y84" s="10" t="s">
        <v>40</v>
      </c>
      <c r="AA84" s="10" t="s">
        <v>40</v>
      </c>
      <c r="AC84" s="10" t="s">
        <v>40</v>
      </c>
      <c r="AE84" s="10" t="s">
        <v>40</v>
      </c>
      <c r="AG84" s="10" t="s">
        <v>40</v>
      </c>
      <c r="AW84" s="10" t="s">
        <v>40</v>
      </c>
      <c r="AY84" s="10" t="s">
        <v>40</v>
      </c>
      <c r="BA84" s="10" t="s">
        <v>40</v>
      </c>
      <c r="BC84" s="10" t="s">
        <v>40</v>
      </c>
      <c r="BE84" s="10" t="s">
        <v>40</v>
      </c>
      <c r="BG84" s="10" t="s">
        <v>40</v>
      </c>
      <c r="BI84" s="10" t="s">
        <v>40</v>
      </c>
      <c r="BK84" s="10" t="s">
        <v>40</v>
      </c>
      <c r="BM84" s="10" t="s">
        <v>40</v>
      </c>
      <c r="BO84" s="10" t="s">
        <v>40</v>
      </c>
      <c r="BQ84" s="10" t="s">
        <v>40</v>
      </c>
      <c r="BS84" s="10" t="s">
        <v>40</v>
      </c>
      <c r="BU84" s="10" t="s">
        <v>40</v>
      </c>
      <c r="BW84" s="10" t="s">
        <v>40</v>
      </c>
      <c r="BY84" s="10" t="s">
        <v>40</v>
      </c>
      <c r="CA84" s="10" t="s">
        <v>40</v>
      </c>
      <c r="CC84" s="10" t="s">
        <v>40</v>
      </c>
      <c r="CE84" s="10" t="s">
        <v>40</v>
      </c>
      <c r="CG84" s="10" t="s">
        <v>40</v>
      </c>
      <c r="CI84" s="10" t="s">
        <v>40</v>
      </c>
      <c r="CK84" s="10" t="s">
        <v>40</v>
      </c>
      <c r="CM84" s="10" t="s">
        <v>40</v>
      </c>
      <c r="CO84" s="10" t="s">
        <v>40</v>
      </c>
      <c r="CQ84" s="10" t="s">
        <v>40</v>
      </c>
      <c r="CS84" s="10" t="s">
        <v>40</v>
      </c>
      <c r="CU84" s="10" t="s">
        <v>40</v>
      </c>
      <c r="CW84" s="10" t="s">
        <v>40</v>
      </c>
      <c r="CY84" s="10" t="s">
        <v>40</v>
      </c>
      <c r="DA84" s="10" t="s">
        <v>40</v>
      </c>
      <c r="DC84" s="10" t="s">
        <v>40</v>
      </c>
      <c r="DE84" s="10" t="s">
        <v>40</v>
      </c>
      <c r="DG84" s="10" t="s">
        <v>40</v>
      </c>
      <c r="DI84" s="10" t="s">
        <v>40</v>
      </c>
      <c r="DK84" s="10" t="s">
        <v>40</v>
      </c>
      <c r="DM84" s="10" t="s">
        <v>40</v>
      </c>
      <c r="DO84" s="10" t="s">
        <v>40</v>
      </c>
      <c r="DQ84" s="10" t="s">
        <v>40</v>
      </c>
      <c r="DS84" s="10" t="s">
        <v>40</v>
      </c>
      <c r="DU84" s="10" t="s">
        <v>40</v>
      </c>
      <c r="DW84" s="10" t="s">
        <v>40</v>
      </c>
      <c r="DY84" s="10" t="s">
        <v>40</v>
      </c>
      <c r="EA84" s="10" t="s">
        <v>40</v>
      </c>
      <c r="EC84" s="10" t="s">
        <v>40</v>
      </c>
      <c r="EE84" s="10" t="s">
        <v>40</v>
      </c>
      <c r="EG84" s="10" t="s">
        <v>40</v>
      </c>
      <c r="EI84" s="10" t="s">
        <v>40</v>
      </c>
      <c r="EK84" s="10" t="s">
        <v>40</v>
      </c>
      <c r="EM84" s="10" t="s">
        <v>40</v>
      </c>
      <c r="EO84" s="10" t="s">
        <v>40</v>
      </c>
      <c r="EQ84" s="10" t="s">
        <v>40</v>
      </c>
      <c r="ES84" s="10" t="s">
        <v>40</v>
      </c>
      <c r="EU84" s="10" t="s">
        <v>40</v>
      </c>
      <c r="EW84" s="10" t="s">
        <v>40</v>
      </c>
      <c r="EY84" s="10" t="s">
        <v>40</v>
      </c>
      <c r="FA84" s="10" t="s">
        <v>40</v>
      </c>
      <c r="FC84" s="10" t="s">
        <v>40</v>
      </c>
      <c r="FE84" s="10" t="s">
        <v>40</v>
      </c>
      <c r="FG84" s="10" t="s">
        <v>40</v>
      </c>
      <c r="FI84" s="10" t="s">
        <v>40</v>
      </c>
      <c r="FK84" s="10" t="s">
        <v>40</v>
      </c>
      <c r="FM84" s="10" t="s">
        <v>40</v>
      </c>
      <c r="FO84" s="10" t="s">
        <v>40</v>
      </c>
      <c r="FQ84" s="10" t="s">
        <v>40</v>
      </c>
      <c r="FS84" s="10" t="s">
        <v>40</v>
      </c>
      <c r="FU84" s="10" t="s">
        <v>40</v>
      </c>
      <c r="FW84" s="10" t="s">
        <v>40</v>
      </c>
      <c r="FY84" s="10" t="s">
        <v>40</v>
      </c>
      <c r="GA84" s="10" t="s">
        <v>40</v>
      </c>
      <c r="GC84" s="10" t="s">
        <v>40</v>
      </c>
      <c r="GE84" s="10" t="s">
        <v>40</v>
      </c>
      <c r="GG84" s="10" t="s">
        <v>40</v>
      </c>
      <c r="GI84" s="10" t="s">
        <v>40</v>
      </c>
      <c r="GK84" s="10" t="s">
        <v>40</v>
      </c>
      <c r="GM84" s="10" t="s">
        <v>40</v>
      </c>
      <c r="GO84" s="10" t="s">
        <v>40</v>
      </c>
      <c r="GQ84" s="10" t="s">
        <v>40</v>
      </c>
      <c r="GS84" s="10" t="s">
        <v>40</v>
      </c>
      <c r="GU84" s="10" t="s">
        <v>40</v>
      </c>
      <c r="GW84" s="10" t="s">
        <v>40</v>
      </c>
      <c r="GY84" s="10" t="s">
        <v>40</v>
      </c>
      <c r="HA84" s="10" t="s">
        <v>40</v>
      </c>
      <c r="HC84" s="10" t="s">
        <v>40</v>
      </c>
    </row>
    <row r="86" spans="23:211" x14ac:dyDescent="0.2">
      <c r="AA86" s="26" t="s">
        <v>40</v>
      </c>
      <c r="AC86" s="26" t="s">
        <v>40</v>
      </c>
      <c r="AE86" s="26" t="s">
        <v>40</v>
      </c>
      <c r="AG86" s="26" t="s">
        <v>40</v>
      </c>
      <c r="AY86" s="26" t="s">
        <v>40</v>
      </c>
      <c r="BA86" s="26" t="s">
        <v>40</v>
      </c>
      <c r="BC86" s="26" t="s">
        <v>40</v>
      </c>
      <c r="BE86" s="26" t="s">
        <v>40</v>
      </c>
      <c r="BG86" s="26" t="s">
        <v>40</v>
      </c>
      <c r="BI86" s="26" t="s">
        <v>40</v>
      </c>
      <c r="BK86" s="26" t="s">
        <v>40</v>
      </c>
      <c r="BM86" s="26" t="s">
        <v>40</v>
      </c>
      <c r="BO86" s="26" t="s">
        <v>40</v>
      </c>
      <c r="BQ86" s="26" t="s">
        <v>40</v>
      </c>
      <c r="BS86" s="26" t="s">
        <v>40</v>
      </c>
      <c r="BU86" s="26" t="s">
        <v>40</v>
      </c>
      <c r="BW86" s="26" t="s">
        <v>40</v>
      </c>
      <c r="BY86" s="26" t="s">
        <v>40</v>
      </c>
      <c r="CA86" s="26" t="s">
        <v>40</v>
      </c>
      <c r="CC86" s="26" t="s">
        <v>40</v>
      </c>
      <c r="CE86" s="26" t="s">
        <v>40</v>
      </c>
      <c r="CG86" s="26" t="s">
        <v>40</v>
      </c>
      <c r="CI86" s="26" t="s">
        <v>40</v>
      </c>
      <c r="CK86" s="26" t="s">
        <v>40</v>
      </c>
      <c r="CM86" s="26" t="s">
        <v>40</v>
      </c>
      <c r="CO86" s="26" t="s">
        <v>40</v>
      </c>
      <c r="CQ86" s="26" t="s">
        <v>40</v>
      </c>
      <c r="CS86" s="26" t="s">
        <v>40</v>
      </c>
      <c r="CU86" s="26" t="s">
        <v>40</v>
      </c>
      <c r="CW86" s="26" t="s">
        <v>40</v>
      </c>
      <c r="CY86" s="26" t="s">
        <v>40</v>
      </c>
      <c r="DA86" s="26" t="s">
        <v>40</v>
      </c>
      <c r="DC86" s="26" t="s">
        <v>40</v>
      </c>
      <c r="DE86" s="26" t="s">
        <v>40</v>
      </c>
      <c r="DG86" s="26" t="s">
        <v>40</v>
      </c>
      <c r="DI86" s="26" t="s">
        <v>40</v>
      </c>
      <c r="DK86" s="26" t="s">
        <v>40</v>
      </c>
      <c r="DM86" s="26" t="s">
        <v>40</v>
      </c>
      <c r="DO86" s="26" t="s">
        <v>40</v>
      </c>
      <c r="DQ86" s="26" t="s">
        <v>40</v>
      </c>
      <c r="DS86" s="26" t="s">
        <v>40</v>
      </c>
      <c r="DU86" s="26" t="s">
        <v>40</v>
      </c>
      <c r="DW86" s="26" t="s">
        <v>40</v>
      </c>
      <c r="DY86" s="26" t="s">
        <v>40</v>
      </c>
      <c r="EA86" s="26" t="s">
        <v>40</v>
      </c>
      <c r="EC86" s="26" t="s">
        <v>40</v>
      </c>
      <c r="EE86" s="26" t="s">
        <v>40</v>
      </c>
      <c r="EG86" s="26" t="s">
        <v>40</v>
      </c>
      <c r="EI86" s="26" t="s">
        <v>40</v>
      </c>
      <c r="EK86" s="26" t="s">
        <v>40</v>
      </c>
      <c r="EM86" s="26" t="s">
        <v>40</v>
      </c>
      <c r="EO86" s="26" t="s">
        <v>40</v>
      </c>
      <c r="EQ86" s="26" t="s">
        <v>40</v>
      </c>
      <c r="ES86" s="26" t="s">
        <v>40</v>
      </c>
      <c r="EU86" s="26" t="s">
        <v>40</v>
      </c>
      <c r="EW86" s="26" t="s">
        <v>40</v>
      </c>
      <c r="EY86" s="26" t="s">
        <v>40</v>
      </c>
      <c r="FA86" s="26" t="s">
        <v>40</v>
      </c>
      <c r="FC86" s="26" t="s">
        <v>40</v>
      </c>
      <c r="FE86" s="26" t="s">
        <v>40</v>
      </c>
      <c r="FG86" s="26" t="s">
        <v>40</v>
      </c>
      <c r="FI86" s="26" t="s">
        <v>40</v>
      </c>
      <c r="FK86" s="26" t="s">
        <v>40</v>
      </c>
      <c r="FM86" s="26" t="s">
        <v>40</v>
      </c>
      <c r="FO86" s="26" t="s">
        <v>40</v>
      </c>
      <c r="FQ86" s="26" t="s">
        <v>40</v>
      </c>
      <c r="FS86" s="26" t="s">
        <v>40</v>
      </c>
      <c r="FU86" s="26" t="s">
        <v>40</v>
      </c>
      <c r="FW86" s="26" t="s">
        <v>40</v>
      </c>
      <c r="FY86" s="26" t="s">
        <v>40</v>
      </c>
      <c r="GA86" s="26" t="s">
        <v>40</v>
      </c>
      <c r="GC86" s="26" t="s">
        <v>40</v>
      </c>
      <c r="GE86" s="26" t="s">
        <v>40</v>
      </c>
      <c r="GG86" s="26" t="s">
        <v>40</v>
      </c>
      <c r="GI86" s="26" t="s">
        <v>40</v>
      </c>
      <c r="GK86" s="26" t="s">
        <v>40</v>
      </c>
      <c r="GM86" s="26" t="s">
        <v>40</v>
      </c>
      <c r="GO86" s="26" t="s">
        <v>40</v>
      </c>
      <c r="GQ86" s="26" t="s">
        <v>40</v>
      </c>
      <c r="GS86" s="26" t="s">
        <v>40</v>
      </c>
      <c r="GU86" s="26" t="s">
        <v>40</v>
      </c>
      <c r="GW86" s="26" t="s">
        <v>40</v>
      </c>
      <c r="GY86" s="26" t="s">
        <v>40</v>
      </c>
      <c r="HA86" s="26" t="s">
        <v>40</v>
      </c>
      <c r="HC86" s="26" t="s">
        <v>40</v>
      </c>
    </row>
    <row r="87" spans="23:211" x14ac:dyDescent="0.2">
      <c r="AA87" s="10" t="s">
        <v>40</v>
      </c>
      <c r="AC87" s="10" t="s">
        <v>40</v>
      </c>
      <c r="AE87" s="10" t="s">
        <v>40</v>
      </c>
      <c r="AG87" s="10" t="s">
        <v>40</v>
      </c>
      <c r="AY87" s="10" t="s">
        <v>40</v>
      </c>
      <c r="BA87" s="10" t="s">
        <v>40</v>
      </c>
      <c r="BC87" s="10" t="s">
        <v>40</v>
      </c>
      <c r="BE87" s="10" t="s">
        <v>40</v>
      </c>
      <c r="BG87" s="10" t="s">
        <v>40</v>
      </c>
      <c r="BI87" s="10" t="s">
        <v>40</v>
      </c>
      <c r="BK87" s="10" t="s">
        <v>40</v>
      </c>
      <c r="BM87" s="10" t="s">
        <v>40</v>
      </c>
      <c r="BO87" s="10" t="s">
        <v>40</v>
      </c>
      <c r="BQ87" s="10" t="s">
        <v>40</v>
      </c>
      <c r="BS87" s="10" t="s">
        <v>40</v>
      </c>
      <c r="BU87" s="10" t="s">
        <v>40</v>
      </c>
      <c r="BW87" s="10" t="s">
        <v>40</v>
      </c>
      <c r="BY87" s="10" t="s">
        <v>40</v>
      </c>
      <c r="CA87" s="10" t="s">
        <v>40</v>
      </c>
      <c r="CC87" s="10" t="s">
        <v>40</v>
      </c>
      <c r="CE87" s="10" t="s">
        <v>40</v>
      </c>
      <c r="CG87" s="10" t="s">
        <v>40</v>
      </c>
      <c r="CI87" s="10" t="s">
        <v>40</v>
      </c>
      <c r="CK87" s="10" t="s">
        <v>40</v>
      </c>
      <c r="CM87" s="10" t="s">
        <v>40</v>
      </c>
      <c r="CO87" s="10" t="s">
        <v>40</v>
      </c>
      <c r="CQ87" s="10" t="s">
        <v>40</v>
      </c>
      <c r="CS87" s="10" t="s">
        <v>40</v>
      </c>
      <c r="CU87" s="10" t="s">
        <v>40</v>
      </c>
      <c r="CW87" s="10" t="s">
        <v>40</v>
      </c>
      <c r="CY87" s="10" t="s">
        <v>40</v>
      </c>
      <c r="DA87" s="10" t="s">
        <v>40</v>
      </c>
      <c r="DC87" s="10" t="s">
        <v>40</v>
      </c>
      <c r="DE87" s="10" t="s">
        <v>40</v>
      </c>
      <c r="DG87" s="10" t="s">
        <v>40</v>
      </c>
      <c r="DI87" s="10" t="s">
        <v>40</v>
      </c>
      <c r="DK87" s="10" t="s">
        <v>40</v>
      </c>
      <c r="DM87" s="10" t="s">
        <v>40</v>
      </c>
      <c r="DO87" s="10" t="s">
        <v>40</v>
      </c>
      <c r="DQ87" s="10" t="s">
        <v>40</v>
      </c>
      <c r="DS87" s="10" t="s">
        <v>40</v>
      </c>
      <c r="DU87" s="10" t="s">
        <v>40</v>
      </c>
      <c r="DW87" s="10" t="s">
        <v>40</v>
      </c>
      <c r="DY87" s="10" t="s">
        <v>40</v>
      </c>
      <c r="EA87" s="10" t="s">
        <v>40</v>
      </c>
      <c r="EC87" s="10" t="s">
        <v>40</v>
      </c>
      <c r="EE87" s="10" t="s">
        <v>40</v>
      </c>
      <c r="EG87" s="10" t="s">
        <v>40</v>
      </c>
      <c r="EI87" s="10" t="s">
        <v>40</v>
      </c>
      <c r="EK87" s="10" t="s">
        <v>40</v>
      </c>
      <c r="EM87" s="10" t="s">
        <v>40</v>
      </c>
      <c r="EO87" s="10" t="s">
        <v>40</v>
      </c>
      <c r="EQ87" s="10" t="s">
        <v>40</v>
      </c>
      <c r="ES87" s="10" t="s">
        <v>40</v>
      </c>
      <c r="EU87" s="10" t="s">
        <v>40</v>
      </c>
      <c r="EW87" s="10" t="s">
        <v>40</v>
      </c>
      <c r="EY87" s="10" t="s">
        <v>40</v>
      </c>
      <c r="FA87" s="10" t="s">
        <v>40</v>
      </c>
      <c r="FC87" s="10" t="s">
        <v>40</v>
      </c>
      <c r="FE87" s="10" t="s">
        <v>40</v>
      </c>
      <c r="FG87" s="10" t="s">
        <v>40</v>
      </c>
      <c r="FI87" s="10" t="s">
        <v>40</v>
      </c>
      <c r="FK87" s="10" t="s">
        <v>40</v>
      </c>
      <c r="FM87" s="10" t="s">
        <v>40</v>
      </c>
      <c r="FO87" s="10" t="s">
        <v>40</v>
      </c>
      <c r="FQ87" s="10" t="s">
        <v>40</v>
      </c>
      <c r="FS87" s="10" t="s">
        <v>40</v>
      </c>
      <c r="FU87" s="10" t="s">
        <v>40</v>
      </c>
      <c r="FW87" s="10" t="s">
        <v>40</v>
      </c>
      <c r="FY87" s="10" t="s">
        <v>40</v>
      </c>
      <c r="GA87" s="10" t="s">
        <v>40</v>
      </c>
      <c r="GC87" s="10" t="s">
        <v>40</v>
      </c>
      <c r="GE87" s="10" t="s">
        <v>40</v>
      </c>
      <c r="GG87" s="10" t="s">
        <v>40</v>
      </c>
      <c r="GI87" s="10" t="s">
        <v>40</v>
      </c>
      <c r="GK87" s="10" t="s">
        <v>40</v>
      </c>
      <c r="GM87" s="10" t="s">
        <v>40</v>
      </c>
      <c r="GO87" s="10" t="s">
        <v>40</v>
      </c>
      <c r="GQ87" s="10" t="s">
        <v>40</v>
      </c>
      <c r="GS87" s="10" t="s">
        <v>40</v>
      </c>
      <c r="GU87" s="10" t="s">
        <v>40</v>
      </c>
      <c r="GW87" s="10" t="s">
        <v>40</v>
      </c>
      <c r="GY87" s="10" t="s">
        <v>40</v>
      </c>
      <c r="HA87" s="10" t="s">
        <v>40</v>
      </c>
      <c r="HC87" s="10" t="s">
        <v>40</v>
      </c>
    </row>
    <row r="89" spans="23:211" x14ac:dyDescent="0.2">
      <c r="AC89" s="26" t="s">
        <v>40</v>
      </c>
      <c r="AE89" s="26" t="s">
        <v>40</v>
      </c>
      <c r="AG89" s="26" t="s">
        <v>40</v>
      </c>
      <c r="BA89" s="26" t="s">
        <v>40</v>
      </c>
      <c r="BC89" s="26" t="s">
        <v>40</v>
      </c>
      <c r="BE89" s="26" t="s">
        <v>40</v>
      </c>
      <c r="BG89" s="26" t="s">
        <v>40</v>
      </c>
      <c r="BI89" s="26" t="s">
        <v>40</v>
      </c>
      <c r="BK89" s="26" t="s">
        <v>40</v>
      </c>
      <c r="BM89" s="26" t="s">
        <v>40</v>
      </c>
      <c r="BO89" s="26" t="s">
        <v>40</v>
      </c>
      <c r="BQ89" s="26" t="s">
        <v>40</v>
      </c>
      <c r="BS89" s="26" t="s">
        <v>40</v>
      </c>
      <c r="BU89" s="26" t="s">
        <v>40</v>
      </c>
      <c r="BW89" s="26" t="s">
        <v>40</v>
      </c>
      <c r="BY89" s="26" t="s">
        <v>40</v>
      </c>
      <c r="CA89" s="26" t="s">
        <v>40</v>
      </c>
      <c r="CC89" s="26" t="s">
        <v>40</v>
      </c>
      <c r="CE89" s="26" t="s">
        <v>40</v>
      </c>
      <c r="CG89" s="26" t="s">
        <v>40</v>
      </c>
      <c r="CI89" s="26" t="s">
        <v>40</v>
      </c>
      <c r="CK89" s="26" t="s">
        <v>40</v>
      </c>
      <c r="CM89" s="26" t="s">
        <v>40</v>
      </c>
      <c r="CO89" s="26" t="s">
        <v>40</v>
      </c>
      <c r="CQ89" s="26" t="s">
        <v>40</v>
      </c>
      <c r="CS89" s="26" t="s">
        <v>40</v>
      </c>
      <c r="CU89" s="26" t="s">
        <v>40</v>
      </c>
      <c r="CW89" s="26" t="s">
        <v>40</v>
      </c>
      <c r="CY89" s="26" t="s">
        <v>40</v>
      </c>
      <c r="DA89" s="26" t="s">
        <v>40</v>
      </c>
      <c r="DC89" s="26" t="s">
        <v>40</v>
      </c>
      <c r="DE89" s="26" t="s">
        <v>40</v>
      </c>
      <c r="DG89" s="26" t="s">
        <v>40</v>
      </c>
      <c r="DI89" s="26" t="s">
        <v>40</v>
      </c>
      <c r="DK89" s="26" t="s">
        <v>40</v>
      </c>
      <c r="DM89" s="26" t="s">
        <v>40</v>
      </c>
      <c r="DO89" s="26" t="s">
        <v>40</v>
      </c>
      <c r="DQ89" s="26" t="s">
        <v>40</v>
      </c>
      <c r="DS89" s="26" t="s">
        <v>40</v>
      </c>
      <c r="DU89" s="26" t="s">
        <v>40</v>
      </c>
      <c r="DW89" s="26" t="s">
        <v>40</v>
      </c>
      <c r="DY89" s="26" t="s">
        <v>40</v>
      </c>
      <c r="EA89" s="26" t="s">
        <v>40</v>
      </c>
      <c r="EC89" s="26" t="s">
        <v>40</v>
      </c>
      <c r="EE89" s="26" t="s">
        <v>40</v>
      </c>
      <c r="EG89" s="26" t="s">
        <v>40</v>
      </c>
      <c r="EI89" s="26" t="s">
        <v>40</v>
      </c>
      <c r="EK89" s="26" t="s">
        <v>40</v>
      </c>
      <c r="EM89" s="26" t="s">
        <v>40</v>
      </c>
      <c r="EO89" s="26" t="s">
        <v>40</v>
      </c>
      <c r="EQ89" s="26" t="s">
        <v>40</v>
      </c>
      <c r="ES89" s="26" t="s">
        <v>40</v>
      </c>
      <c r="EU89" s="26" t="s">
        <v>40</v>
      </c>
      <c r="EW89" s="26" t="s">
        <v>40</v>
      </c>
      <c r="EY89" s="26" t="s">
        <v>40</v>
      </c>
      <c r="FA89" s="26" t="s">
        <v>40</v>
      </c>
      <c r="FC89" s="26" t="s">
        <v>40</v>
      </c>
      <c r="FE89" s="26" t="s">
        <v>40</v>
      </c>
      <c r="FG89" s="26" t="s">
        <v>40</v>
      </c>
      <c r="FI89" s="26" t="s">
        <v>40</v>
      </c>
      <c r="FK89" s="26" t="s">
        <v>40</v>
      </c>
      <c r="FM89" s="26" t="s">
        <v>40</v>
      </c>
      <c r="FO89" s="26" t="s">
        <v>40</v>
      </c>
      <c r="FQ89" s="26" t="s">
        <v>40</v>
      </c>
      <c r="FS89" s="26" t="s">
        <v>40</v>
      </c>
      <c r="FU89" s="26" t="s">
        <v>40</v>
      </c>
      <c r="FW89" s="26" t="s">
        <v>40</v>
      </c>
      <c r="FY89" s="26" t="s">
        <v>40</v>
      </c>
      <c r="GA89" s="26" t="s">
        <v>40</v>
      </c>
      <c r="GC89" s="26" t="s">
        <v>40</v>
      </c>
      <c r="GE89" s="26" t="s">
        <v>40</v>
      </c>
      <c r="GG89" s="26" t="s">
        <v>40</v>
      </c>
      <c r="GI89" s="26" t="s">
        <v>40</v>
      </c>
      <c r="GK89" s="26" t="s">
        <v>40</v>
      </c>
      <c r="GM89" s="26" t="s">
        <v>40</v>
      </c>
      <c r="GO89" s="26" t="s">
        <v>40</v>
      </c>
      <c r="GQ89" s="26" t="s">
        <v>40</v>
      </c>
      <c r="GS89" s="26" t="s">
        <v>40</v>
      </c>
      <c r="GU89" s="26" t="s">
        <v>40</v>
      </c>
      <c r="GW89" s="26" t="s">
        <v>40</v>
      </c>
      <c r="GY89" s="26" t="s">
        <v>40</v>
      </c>
      <c r="HA89" s="26" t="s">
        <v>40</v>
      </c>
      <c r="HC89" s="26" t="s">
        <v>40</v>
      </c>
    </row>
    <row r="90" spans="23:211" x14ac:dyDescent="0.2">
      <c r="AC90" s="10" t="s">
        <v>40</v>
      </c>
      <c r="AE90" s="10" t="s">
        <v>40</v>
      </c>
      <c r="AG90" s="10" t="s">
        <v>40</v>
      </c>
      <c r="BA90" s="10" t="s">
        <v>40</v>
      </c>
      <c r="BC90" s="10" t="s">
        <v>40</v>
      </c>
      <c r="BE90" s="10" t="s">
        <v>40</v>
      </c>
      <c r="BG90" s="10" t="s">
        <v>40</v>
      </c>
      <c r="BI90" s="10" t="s">
        <v>40</v>
      </c>
      <c r="BK90" s="10" t="s">
        <v>40</v>
      </c>
      <c r="BM90" s="10" t="s">
        <v>40</v>
      </c>
      <c r="BO90" s="10" t="s">
        <v>40</v>
      </c>
      <c r="BQ90" s="10" t="s">
        <v>40</v>
      </c>
      <c r="BS90" s="10" t="s">
        <v>40</v>
      </c>
      <c r="BU90" s="10" t="s">
        <v>40</v>
      </c>
      <c r="BW90" s="10" t="s">
        <v>40</v>
      </c>
      <c r="BY90" s="10" t="s">
        <v>40</v>
      </c>
      <c r="CA90" s="10" t="s">
        <v>40</v>
      </c>
      <c r="CC90" s="10" t="s">
        <v>40</v>
      </c>
      <c r="CE90" s="10" t="s">
        <v>40</v>
      </c>
      <c r="CG90" s="10" t="s">
        <v>40</v>
      </c>
      <c r="CI90" s="10" t="s">
        <v>40</v>
      </c>
      <c r="CK90" s="10" t="s">
        <v>40</v>
      </c>
      <c r="CM90" s="10" t="s">
        <v>40</v>
      </c>
      <c r="CO90" s="10" t="s">
        <v>40</v>
      </c>
      <c r="CQ90" s="10" t="s">
        <v>40</v>
      </c>
      <c r="CS90" s="10" t="s">
        <v>40</v>
      </c>
      <c r="CU90" s="10" t="s">
        <v>40</v>
      </c>
      <c r="CW90" s="10" t="s">
        <v>40</v>
      </c>
      <c r="CY90" s="10" t="s">
        <v>40</v>
      </c>
      <c r="DA90" s="10" t="s">
        <v>40</v>
      </c>
      <c r="DC90" s="10" t="s">
        <v>40</v>
      </c>
      <c r="DE90" s="10" t="s">
        <v>40</v>
      </c>
      <c r="DG90" s="10" t="s">
        <v>40</v>
      </c>
      <c r="DI90" s="10" t="s">
        <v>40</v>
      </c>
      <c r="DK90" s="10" t="s">
        <v>40</v>
      </c>
      <c r="DM90" s="10" t="s">
        <v>40</v>
      </c>
      <c r="DO90" s="10" t="s">
        <v>40</v>
      </c>
      <c r="DQ90" s="10" t="s">
        <v>40</v>
      </c>
      <c r="DS90" s="10" t="s">
        <v>40</v>
      </c>
      <c r="DU90" s="10" t="s">
        <v>40</v>
      </c>
      <c r="DW90" s="10" t="s">
        <v>40</v>
      </c>
      <c r="DY90" s="10" t="s">
        <v>40</v>
      </c>
      <c r="EA90" s="10" t="s">
        <v>40</v>
      </c>
      <c r="EC90" s="10" t="s">
        <v>40</v>
      </c>
      <c r="EE90" s="10" t="s">
        <v>40</v>
      </c>
      <c r="EG90" s="10" t="s">
        <v>40</v>
      </c>
      <c r="EI90" s="10" t="s">
        <v>40</v>
      </c>
      <c r="EK90" s="10" t="s">
        <v>40</v>
      </c>
      <c r="EM90" s="10" t="s">
        <v>40</v>
      </c>
      <c r="EO90" s="10" t="s">
        <v>40</v>
      </c>
      <c r="EQ90" s="10" t="s">
        <v>40</v>
      </c>
      <c r="ES90" s="10" t="s">
        <v>40</v>
      </c>
      <c r="EU90" s="10" t="s">
        <v>40</v>
      </c>
      <c r="EW90" s="10" t="s">
        <v>40</v>
      </c>
      <c r="EY90" s="10" t="s">
        <v>40</v>
      </c>
      <c r="FA90" s="10" t="s">
        <v>40</v>
      </c>
      <c r="FC90" s="10" t="s">
        <v>40</v>
      </c>
      <c r="FE90" s="10" t="s">
        <v>40</v>
      </c>
      <c r="FG90" s="10" t="s">
        <v>40</v>
      </c>
      <c r="FI90" s="10" t="s">
        <v>40</v>
      </c>
      <c r="FK90" s="10" t="s">
        <v>40</v>
      </c>
      <c r="FM90" s="10" t="s">
        <v>40</v>
      </c>
      <c r="FO90" s="10" t="s">
        <v>40</v>
      </c>
      <c r="FQ90" s="10" t="s">
        <v>40</v>
      </c>
      <c r="FS90" s="10" t="s">
        <v>40</v>
      </c>
      <c r="FU90" s="10" t="s">
        <v>40</v>
      </c>
      <c r="FW90" s="10" t="s">
        <v>40</v>
      </c>
      <c r="FY90" s="10" t="s">
        <v>40</v>
      </c>
      <c r="GA90" s="10" t="s">
        <v>40</v>
      </c>
      <c r="GC90" s="10" t="s">
        <v>40</v>
      </c>
      <c r="GE90" s="10" t="s">
        <v>40</v>
      </c>
      <c r="GG90" s="10" t="s">
        <v>40</v>
      </c>
      <c r="GI90" s="10" t="s">
        <v>40</v>
      </c>
      <c r="GK90" s="10" t="s">
        <v>40</v>
      </c>
      <c r="GM90" s="10" t="s">
        <v>40</v>
      </c>
      <c r="GO90" s="10" t="s">
        <v>40</v>
      </c>
      <c r="GQ90" s="10" t="s">
        <v>40</v>
      </c>
      <c r="GS90" s="10" t="s">
        <v>40</v>
      </c>
      <c r="GU90" s="10" t="s">
        <v>40</v>
      </c>
      <c r="GW90" s="10" t="s">
        <v>40</v>
      </c>
      <c r="GY90" s="10" t="s">
        <v>40</v>
      </c>
      <c r="HA90" s="10" t="s">
        <v>40</v>
      </c>
      <c r="HC90" s="10" t="s">
        <v>40</v>
      </c>
    </row>
    <row r="92" spans="23:211" x14ac:dyDescent="0.2">
      <c r="AE92" s="26" t="s">
        <v>40</v>
      </c>
      <c r="AG92" s="26" t="s">
        <v>40</v>
      </c>
      <c r="BC92" s="26" t="s">
        <v>40</v>
      </c>
      <c r="BE92" s="26" t="s">
        <v>40</v>
      </c>
      <c r="BG92" s="26" t="s">
        <v>40</v>
      </c>
      <c r="BI92" s="26" t="s">
        <v>40</v>
      </c>
      <c r="BK92" s="26" t="s">
        <v>40</v>
      </c>
      <c r="BM92" s="26" t="s">
        <v>40</v>
      </c>
      <c r="BO92" s="26" t="s">
        <v>40</v>
      </c>
      <c r="BQ92" s="26" t="s">
        <v>40</v>
      </c>
      <c r="BS92" s="26" t="s">
        <v>40</v>
      </c>
      <c r="BU92" s="26" t="s">
        <v>40</v>
      </c>
      <c r="BW92" s="26" t="s">
        <v>40</v>
      </c>
      <c r="BY92" s="26" t="s">
        <v>40</v>
      </c>
      <c r="CA92" s="26" t="s">
        <v>40</v>
      </c>
      <c r="CC92" s="26" t="s">
        <v>40</v>
      </c>
      <c r="CE92" s="26" t="s">
        <v>40</v>
      </c>
      <c r="CG92" s="26" t="s">
        <v>40</v>
      </c>
      <c r="CI92" s="26" t="s">
        <v>40</v>
      </c>
      <c r="CK92" s="26" t="s">
        <v>40</v>
      </c>
      <c r="CM92" s="26" t="s">
        <v>40</v>
      </c>
      <c r="CO92" s="26" t="s">
        <v>40</v>
      </c>
      <c r="CQ92" s="26" t="s">
        <v>40</v>
      </c>
      <c r="CS92" s="26" t="s">
        <v>40</v>
      </c>
      <c r="CU92" s="26" t="s">
        <v>40</v>
      </c>
      <c r="CW92" s="26" t="s">
        <v>40</v>
      </c>
      <c r="CY92" s="26" t="s">
        <v>40</v>
      </c>
      <c r="DA92" s="26" t="s">
        <v>40</v>
      </c>
      <c r="DC92" s="26" t="s">
        <v>40</v>
      </c>
      <c r="DE92" s="26" t="s">
        <v>40</v>
      </c>
      <c r="DG92" s="26" t="s">
        <v>40</v>
      </c>
      <c r="DI92" s="26" t="s">
        <v>40</v>
      </c>
      <c r="DK92" s="26" t="s">
        <v>40</v>
      </c>
      <c r="DM92" s="26" t="s">
        <v>40</v>
      </c>
      <c r="DO92" s="26" t="s">
        <v>40</v>
      </c>
      <c r="DQ92" s="26" t="s">
        <v>40</v>
      </c>
      <c r="DS92" s="26" t="s">
        <v>40</v>
      </c>
      <c r="DU92" s="26" t="s">
        <v>40</v>
      </c>
      <c r="DW92" s="26" t="s">
        <v>40</v>
      </c>
      <c r="DY92" s="26" t="s">
        <v>40</v>
      </c>
      <c r="EA92" s="26" t="s">
        <v>40</v>
      </c>
      <c r="EC92" s="26" t="s">
        <v>40</v>
      </c>
      <c r="EE92" s="26" t="s">
        <v>40</v>
      </c>
      <c r="EG92" s="26" t="s">
        <v>40</v>
      </c>
      <c r="EI92" s="26" t="s">
        <v>40</v>
      </c>
      <c r="EK92" s="26" t="s">
        <v>40</v>
      </c>
      <c r="EM92" s="26" t="s">
        <v>40</v>
      </c>
      <c r="EO92" s="26" t="s">
        <v>40</v>
      </c>
      <c r="EQ92" s="26" t="s">
        <v>40</v>
      </c>
      <c r="ES92" s="26" t="s">
        <v>40</v>
      </c>
      <c r="EU92" s="26" t="s">
        <v>40</v>
      </c>
      <c r="EW92" s="26" t="s">
        <v>40</v>
      </c>
      <c r="EY92" s="26" t="s">
        <v>40</v>
      </c>
      <c r="FA92" s="26" t="s">
        <v>40</v>
      </c>
      <c r="FC92" s="26" t="s">
        <v>40</v>
      </c>
      <c r="FE92" s="26" t="s">
        <v>40</v>
      </c>
      <c r="FG92" s="26" t="s">
        <v>40</v>
      </c>
      <c r="FI92" s="26" t="s">
        <v>40</v>
      </c>
      <c r="FK92" s="26" t="s">
        <v>40</v>
      </c>
      <c r="FM92" s="26" t="s">
        <v>40</v>
      </c>
      <c r="FO92" s="26" t="s">
        <v>40</v>
      </c>
      <c r="FQ92" s="26" t="s">
        <v>40</v>
      </c>
      <c r="FS92" s="26" t="s">
        <v>40</v>
      </c>
      <c r="FU92" s="26" t="s">
        <v>40</v>
      </c>
      <c r="FW92" s="26" t="s">
        <v>40</v>
      </c>
      <c r="FY92" s="26" t="s">
        <v>40</v>
      </c>
      <c r="GA92" s="26" t="s">
        <v>40</v>
      </c>
      <c r="GC92" s="26" t="s">
        <v>40</v>
      </c>
      <c r="GE92" s="26" t="s">
        <v>40</v>
      </c>
      <c r="GG92" s="26" t="s">
        <v>40</v>
      </c>
      <c r="GI92" s="26" t="s">
        <v>40</v>
      </c>
      <c r="GK92" s="26" t="s">
        <v>40</v>
      </c>
      <c r="GM92" s="26" t="s">
        <v>40</v>
      </c>
      <c r="GO92" s="26" t="s">
        <v>40</v>
      </c>
      <c r="GQ92" s="26" t="s">
        <v>40</v>
      </c>
      <c r="GS92" s="26" t="s">
        <v>40</v>
      </c>
      <c r="GU92" s="26" t="s">
        <v>40</v>
      </c>
      <c r="GW92" s="26" t="s">
        <v>40</v>
      </c>
      <c r="GY92" s="26" t="s">
        <v>40</v>
      </c>
      <c r="HA92" s="26" t="s">
        <v>40</v>
      </c>
      <c r="HC92" s="26" t="s">
        <v>40</v>
      </c>
    </row>
    <row r="93" spans="23:211" x14ac:dyDescent="0.2">
      <c r="AE93" s="10" t="s">
        <v>40</v>
      </c>
      <c r="AG93" s="10" t="s">
        <v>40</v>
      </c>
      <c r="BC93" s="10" t="s">
        <v>40</v>
      </c>
      <c r="BE93" s="10" t="s">
        <v>40</v>
      </c>
      <c r="BG93" s="10" t="s">
        <v>40</v>
      </c>
      <c r="BI93" s="10" t="s">
        <v>40</v>
      </c>
      <c r="BK93" s="10" t="s">
        <v>40</v>
      </c>
      <c r="BM93" s="10" t="s">
        <v>40</v>
      </c>
      <c r="BO93" s="10" t="s">
        <v>40</v>
      </c>
      <c r="BQ93" s="10" t="s">
        <v>40</v>
      </c>
      <c r="BS93" s="10" t="s">
        <v>40</v>
      </c>
      <c r="BU93" s="10" t="s">
        <v>40</v>
      </c>
      <c r="BW93" s="10" t="s">
        <v>40</v>
      </c>
      <c r="BY93" s="10" t="s">
        <v>40</v>
      </c>
      <c r="CA93" s="10" t="s">
        <v>40</v>
      </c>
      <c r="CC93" s="10" t="s">
        <v>40</v>
      </c>
      <c r="CE93" s="10" t="s">
        <v>40</v>
      </c>
      <c r="CG93" s="10" t="s">
        <v>40</v>
      </c>
      <c r="CI93" s="10" t="s">
        <v>40</v>
      </c>
      <c r="CK93" s="10" t="s">
        <v>40</v>
      </c>
      <c r="CM93" s="10" t="s">
        <v>40</v>
      </c>
      <c r="CO93" s="10" t="s">
        <v>40</v>
      </c>
      <c r="CQ93" s="10" t="s">
        <v>40</v>
      </c>
      <c r="CS93" s="10" t="s">
        <v>40</v>
      </c>
      <c r="CU93" s="10" t="s">
        <v>40</v>
      </c>
      <c r="CW93" s="10" t="s">
        <v>40</v>
      </c>
      <c r="CY93" s="10" t="s">
        <v>40</v>
      </c>
      <c r="DA93" s="10" t="s">
        <v>40</v>
      </c>
      <c r="DC93" s="10" t="s">
        <v>40</v>
      </c>
      <c r="DE93" s="10" t="s">
        <v>40</v>
      </c>
      <c r="DG93" s="10" t="s">
        <v>40</v>
      </c>
      <c r="DI93" s="10" t="s">
        <v>40</v>
      </c>
      <c r="DK93" s="10" t="s">
        <v>40</v>
      </c>
      <c r="DM93" s="10" t="s">
        <v>40</v>
      </c>
      <c r="DO93" s="10" t="s">
        <v>40</v>
      </c>
      <c r="DQ93" s="10" t="s">
        <v>40</v>
      </c>
      <c r="DS93" s="10" t="s">
        <v>40</v>
      </c>
      <c r="DU93" s="10" t="s">
        <v>40</v>
      </c>
      <c r="DW93" s="10" t="s">
        <v>40</v>
      </c>
      <c r="DY93" s="10" t="s">
        <v>40</v>
      </c>
      <c r="EA93" s="10" t="s">
        <v>40</v>
      </c>
      <c r="EC93" s="10" t="s">
        <v>40</v>
      </c>
      <c r="EE93" s="10" t="s">
        <v>40</v>
      </c>
      <c r="EG93" s="10" t="s">
        <v>40</v>
      </c>
      <c r="EI93" s="10" t="s">
        <v>40</v>
      </c>
      <c r="EK93" s="10" t="s">
        <v>40</v>
      </c>
      <c r="EM93" s="10" t="s">
        <v>40</v>
      </c>
      <c r="EO93" s="10" t="s">
        <v>40</v>
      </c>
      <c r="EQ93" s="10" t="s">
        <v>40</v>
      </c>
      <c r="ES93" s="10" t="s">
        <v>40</v>
      </c>
      <c r="EU93" s="10" t="s">
        <v>40</v>
      </c>
      <c r="EW93" s="10" t="s">
        <v>40</v>
      </c>
      <c r="EY93" s="10" t="s">
        <v>40</v>
      </c>
      <c r="FA93" s="10" t="s">
        <v>40</v>
      </c>
      <c r="FC93" s="10" t="s">
        <v>40</v>
      </c>
      <c r="FE93" s="10" t="s">
        <v>40</v>
      </c>
      <c r="FG93" s="10" t="s">
        <v>40</v>
      </c>
      <c r="FI93" s="10" t="s">
        <v>40</v>
      </c>
      <c r="FK93" s="10" t="s">
        <v>40</v>
      </c>
      <c r="FM93" s="10" t="s">
        <v>40</v>
      </c>
      <c r="FO93" s="10" t="s">
        <v>40</v>
      </c>
      <c r="FQ93" s="10" t="s">
        <v>40</v>
      </c>
      <c r="FS93" s="10" t="s">
        <v>40</v>
      </c>
      <c r="FU93" s="10" t="s">
        <v>40</v>
      </c>
      <c r="FW93" s="10" t="s">
        <v>40</v>
      </c>
      <c r="FY93" s="10" t="s">
        <v>40</v>
      </c>
      <c r="GA93" s="10" t="s">
        <v>40</v>
      </c>
      <c r="GC93" s="10" t="s">
        <v>40</v>
      </c>
      <c r="GE93" s="10" t="s">
        <v>40</v>
      </c>
      <c r="GG93" s="10" t="s">
        <v>40</v>
      </c>
      <c r="GI93" s="10" t="s">
        <v>40</v>
      </c>
      <c r="GK93" s="10" t="s">
        <v>40</v>
      </c>
      <c r="GM93" s="10" t="s">
        <v>40</v>
      </c>
      <c r="GO93" s="10" t="s">
        <v>40</v>
      </c>
      <c r="GQ93" s="10" t="s">
        <v>40</v>
      </c>
      <c r="GS93" s="10" t="s">
        <v>40</v>
      </c>
      <c r="GU93" s="10" t="s">
        <v>40</v>
      </c>
      <c r="GW93" s="10" t="s">
        <v>40</v>
      </c>
      <c r="GY93" s="10" t="s">
        <v>40</v>
      </c>
      <c r="HA93" s="10" t="s">
        <v>40</v>
      </c>
      <c r="HC93" s="10" t="s">
        <v>40</v>
      </c>
    </row>
    <row r="95" spans="23:211" x14ac:dyDescent="0.2">
      <c r="AG95" s="26" t="s">
        <v>40</v>
      </c>
      <c r="BE95" s="26" t="s">
        <v>40</v>
      </c>
      <c r="BG95" s="26" t="s">
        <v>40</v>
      </c>
      <c r="BI95" s="26" t="s">
        <v>40</v>
      </c>
      <c r="BK95" s="26" t="s">
        <v>40</v>
      </c>
      <c r="BM95" s="26" t="s">
        <v>40</v>
      </c>
      <c r="BO95" s="26" t="s">
        <v>40</v>
      </c>
      <c r="BQ95" s="26" t="s">
        <v>40</v>
      </c>
      <c r="BS95" s="26" t="s">
        <v>40</v>
      </c>
      <c r="BU95" s="26" t="s">
        <v>40</v>
      </c>
      <c r="BW95" s="26" t="s">
        <v>40</v>
      </c>
      <c r="BY95" s="26" t="s">
        <v>40</v>
      </c>
      <c r="CA95" s="26" t="s">
        <v>40</v>
      </c>
      <c r="CC95" s="26" t="s">
        <v>40</v>
      </c>
      <c r="CE95" s="26" t="s">
        <v>40</v>
      </c>
      <c r="CG95" s="26" t="s">
        <v>40</v>
      </c>
      <c r="CI95" s="26" t="s">
        <v>40</v>
      </c>
      <c r="CK95" s="26" t="s">
        <v>40</v>
      </c>
      <c r="CM95" s="26" t="s">
        <v>40</v>
      </c>
      <c r="CO95" s="26" t="s">
        <v>40</v>
      </c>
      <c r="CQ95" s="26" t="s">
        <v>40</v>
      </c>
      <c r="CS95" s="26" t="s">
        <v>40</v>
      </c>
      <c r="CU95" s="26" t="s">
        <v>40</v>
      </c>
      <c r="CW95" s="26" t="s">
        <v>40</v>
      </c>
      <c r="CY95" s="26" t="s">
        <v>40</v>
      </c>
      <c r="DA95" s="26" t="s">
        <v>40</v>
      </c>
      <c r="DC95" s="26" t="s">
        <v>40</v>
      </c>
      <c r="DE95" s="26" t="s">
        <v>40</v>
      </c>
      <c r="DG95" s="26" t="s">
        <v>40</v>
      </c>
      <c r="DI95" s="26" t="s">
        <v>40</v>
      </c>
      <c r="DK95" s="26" t="s">
        <v>40</v>
      </c>
      <c r="DM95" s="26" t="s">
        <v>40</v>
      </c>
      <c r="DO95" s="26" t="s">
        <v>40</v>
      </c>
      <c r="DQ95" s="26" t="s">
        <v>40</v>
      </c>
      <c r="DS95" s="26" t="s">
        <v>40</v>
      </c>
      <c r="DU95" s="26" t="s">
        <v>40</v>
      </c>
      <c r="DW95" s="26" t="s">
        <v>40</v>
      </c>
      <c r="DY95" s="26" t="s">
        <v>40</v>
      </c>
      <c r="EA95" s="26" t="s">
        <v>40</v>
      </c>
      <c r="EC95" s="26" t="s">
        <v>40</v>
      </c>
      <c r="EE95" s="26" t="s">
        <v>40</v>
      </c>
      <c r="EG95" s="26" t="s">
        <v>40</v>
      </c>
      <c r="EI95" s="26" t="s">
        <v>40</v>
      </c>
      <c r="EK95" s="26" t="s">
        <v>40</v>
      </c>
      <c r="EM95" s="26" t="s">
        <v>40</v>
      </c>
      <c r="EO95" s="26" t="s">
        <v>40</v>
      </c>
      <c r="EQ95" s="26" t="s">
        <v>40</v>
      </c>
      <c r="ES95" s="26" t="s">
        <v>40</v>
      </c>
      <c r="EU95" s="26" t="s">
        <v>40</v>
      </c>
      <c r="EW95" s="26" t="s">
        <v>40</v>
      </c>
      <c r="EY95" s="26" t="s">
        <v>40</v>
      </c>
      <c r="FA95" s="26" t="s">
        <v>40</v>
      </c>
      <c r="FC95" s="26" t="s">
        <v>40</v>
      </c>
      <c r="FE95" s="26" t="s">
        <v>40</v>
      </c>
      <c r="FG95" s="26" t="s">
        <v>40</v>
      </c>
      <c r="FI95" s="26" t="s">
        <v>40</v>
      </c>
      <c r="FK95" s="26" t="s">
        <v>40</v>
      </c>
      <c r="FM95" s="26" t="s">
        <v>40</v>
      </c>
      <c r="FO95" s="26" t="s">
        <v>40</v>
      </c>
      <c r="FQ95" s="26" t="s">
        <v>40</v>
      </c>
      <c r="FS95" s="26" t="s">
        <v>40</v>
      </c>
      <c r="FU95" s="26" t="s">
        <v>40</v>
      </c>
      <c r="FW95" s="26" t="s">
        <v>40</v>
      </c>
      <c r="FY95" s="26" t="s">
        <v>40</v>
      </c>
      <c r="GA95" s="26" t="s">
        <v>40</v>
      </c>
      <c r="GC95" s="26" t="s">
        <v>40</v>
      </c>
      <c r="GE95" s="26" t="s">
        <v>40</v>
      </c>
      <c r="GG95" s="26" t="s">
        <v>40</v>
      </c>
      <c r="GI95" s="26" t="s">
        <v>40</v>
      </c>
      <c r="GK95" s="26" t="s">
        <v>40</v>
      </c>
      <c r="GM95" s="26" t="s">
        <v>40</v>
      </c>
      <c r="GO95" s="26" t="s">
        <v>40</v>
      </c>
      <c r="GQ95" s="26" t="s">
        <v>40</v>
      </c>
      <c r="GS95" s="26" t="s">
        <v>40</v>
      </c>
      <c r="GU95" s="26" t="s">
        <v>40</v>
      </c>
      <c r="GW95" s="26" t="s">
        <v>40</v>
      </c>
      <c r="GY95" s="26" t="s">
        <v>40</v>
      </c>
      <c r="HA95" s="26" t="s">
        <v>40</v>
      </c>
      <c r="HC95" s="26" t="s">
        <v>40</v>
      </c>
    </row>
    <row r="96" spans="23:211" x14ac:dyDescent="0.2">
      <c r="AG96" s="10" t="s">
        <v>40</v>
      </c>
      <c r="BE96" s="10" t="s">
        <v>40</v>
      </c>
      <c r="BG96" s="10" t="s">
        <v>40</v>
      </c>
      <c r="BI96" s="10" t="s">
        <v>40</v>
      </c>
      <c r="BK96" s="10" t="s">
        <v>40</v>
      </c>
      <c r="BM96" s="10" t="s">
        <v>40</v>
      </c>
      <c r="BO96" s="10" t="s">
        <v>40</v>
      </c>
      <c r="BQ96" s="10" t="s">
        <v>40</v>
      </c>
      <c r="BS96" s="10" t="s">
        <v>40</v>
      </c>
      <c r="BU96" s="10" t="s">
        <v>40</v>
      </c>
      <c r="BW96" s="10" t="s">
        <v>40</v>
      </c>
      <c r="BY96" s="10" t="s">
        <v>40</v>
      </c>
      <c r="CA96" s="10" t="s">
        <v>40</v>
      </c>
      <c r="CC96" s="10" t="s">
        <v>40</v>
      </c>
      <c r="CE96" s="10" t="s">
        <v>40</v>
      </c>
      <c r="CG96" s="10" t="s">
        <v>40</v>
      </c>
      <c r="CI96" s="10" t="s">
        <v>40</v>
      </c>
      <c r="CK96" s="10" t="s">
        <v>40</v>
      </c>
      <c r="CM96" s="10" t="s">
        <v>40</v>
      </c>
      <c r="CO96" s="10" t="s">
        <v>40</v>
      </c>
      <c r="CQ96" s="10" t="s">
        <v>40</v>
      </c>
      <c r="CS96" s="10" t="s">
        <v>40</v>
      </c>
      <c r="CU96" s="10" t="s">
        <v>40</v>
      </c>
      <c r="CW96" s="10" t="s">
        <v>40</v>
      </c>
      <c r="CY96" s="10" t="s">
        <v>40</v>
      </c>
      <c r="DA96" s="10" t="s">
        <v>40</v>
      </c>
      <c r="DC96" s="10" t="s">
        <v>40</v>
      </c>
      <c r="DE96" s="10" t="s">
        <v>40</v>
      </c>
      <c r="DG96" s="10" t="s">
        <v>40</v>
      </c>
      <c r="DI96" s="10" t="s">
        <v>40</v>
      </c>
      <c r="DK96" s="10" t="s">
        <v>40</v>
      </c>
      <c r="DM96" s="10" t="s">
        <v>40</v>
      </c>
      <c r="DO96" s="10" t="s">
        <v>40</v>
      </c>
      <c r="DQ96" s="10" t="s">
        <v>40</v>
      </c>
      <c r="DS96" s="10" t="s">
        <v>40</v>
      </c>
      <c r="DU96" s="10" t="s">
        <v>40</v>
      </c>
      <c r="DW96" s="10" t="s">
        <v>40</v>
      </c>
      <c r="DY96" s="10" t="s">
        <v>40</v>
      </c>
      <c r="EA96" s="10" t="s">
        <v>40</v>
      </c>
      <c r="EC96" s="10" t="s">
        <v>40</v>
      </c>
      <c r="EE96" s="10" t="s">
        <v>40</v>
      </c>
      <c r="EG96" s="10" t="s">
        <v>40</v>
      </c>
      <c r="EI96" s="10" t="s">
        <v>40</v>
      </c>
      <c r="EK96" s="10" t="s">
        <v>40</v>
      </c>
      <c r="EM96" s="10" t="s">
        <v>40</v>
      </c>
      <c r="EO96" s="10" t="s">
        <v>40</v>
      </c>
      <c r="EQ96" s="10" t="s">
        <v>40</v>
      </c>
      <c r="ES96" s="10" t="s">
        <v>40</v>
      </c>
      <c r="EU96" s="10" t="s">
        <v>40</v>
      </c>
      <c r="EW96" s="10" t="s">
        <v>40</v>
      </c>
      <c r="EY96" s="10" t="s">
        <v>40</v>
      </c>
      <c r="FA96" s="10" t="s">
        <v>40</v>
      </c>
      <c r="FC96" s="10" t="s">
        <v>40</v>
      </c>
      <c r="FE96" s="10" t="s">
        <v>40</v>
      </c>
      <c r="FG96" s="10" t="s">
        <v>40</v>
      </c>
      <c r="FI96" s="10" t="s">
        <v>40</v>
      </c>
      <c r="FK96" s="10" t="s">
        <v>40</v>
      </c>
      <c r="FM96" s="10" t="s">
        <v>40</v>
      </c>
      <c r="FO96" s="10" t="s">
        <v>40</v>
      </c>
      <c r="FQ96" s="10" t="s">
        <v>40</v>
      </c>
      <c r="FS96" s="10" t="s">
        <v>40</v>
      </c>
      <c r="FU96" s="10" t="s">
        <v>40</v>
      </c>
      <c r="FW96" s="10" t="s">
        <v>40</v>
      </c>
      <c r="FY96" s="10" t="s">
        <v>40</v>
      </c>
      <c r="GA96" s="10" t="s">
        <v>40</v>
      </c>
      <c r="GC96" s="10" t="s">
        <v>40</v>
      </c>
      <c r="GE96" s="10" t="s">
        <v>40</v>
      </c>
      <c r="GG96" s="10" t="s">
        <v>40</v>
      </c>
      <c r="GI96" s="10" t="s">
        <v>40</v>
      </c>
      <c r="GK96" s="10" t="s">
        <v>40</v>
      </c>
      <c r="GM96" s="10" t="s">
        <v>40</v>
      </c>
      <c r="GO96" s="10" t="s">
        <v>40</v>
      </c>
      <c r="GQ96" s="10" t="s">
        <v>40</v>
      </c>
      <c r="GS96" s="10" t="s">
        <v>40</v>
      </c>
      <c r="GU96" s="10" t="s">
        <v>40</v>
      </c>
      <c r="GW96" s="10" t="s">
        <v>40</v>
      </c>
      <c r="GY96" s="10" t="s">
        <v>40</v>
      </c>
      <c r="HA96" s="10" t="s">
        <v>40</v>
      </c>
      <c r="HC96" s="10" t="s">
        <v>40</v>
      </c>
    </row>
    <row r="98" spans="59:211" x14ac:dyDescent="0.2">
      <c r="BG98" s="26" t="s">
        <v>40</v>
      </c>
      <c r="BI98" s="26" t="s">
        <v>40</v>
      </c>
      <c r="BK98" s="26" t="s">
        <v>40</v>
      </c>
      <c r="BM98" s="26" t="s">
        <v>40</v>
      </c>
      <c r="BO98" s="26" t="s">
        <v>40</v>
      </c>
      <c r="BQ98" s="26" t="s">
        <v>40</v>
      </c>
      <c r="BS98" s="26" t="s">
        <v>40</v>
      </c>
      <c r="BU98" s="26" t="s">
        <v>40</v>
      </c>
      <c r="BW98" s="26" t="s">
        <v>40</v>
      </c>
      <c r="BY98" s="26" t="s">
        <v>40</v>
      </c>
      <c r="CA98" s="26" t="s">
        <v>40</v>
      </c>
      <c r="CC98" s="26" t="s">
        <v>40</v>
      </c>
      <c r="CE98" s="26" t="s">
        <v>40</v>
      </c>
      <c r="CG98" s="26" t="s">
        <v>40</v>
      </c>
      <c r="CI98" s="26" t="s">
        <v>40</v>
      </c>
      <c r="CK98" s="26" t="s">
        <v>40</v>
      </c>
      <c r="CM98" s="26" t="s">
        <v>40</v>
      </c>
      <c r="CO98" s="26" t="s">
        <v>40</v>
      </c>
      <c r="CQ98" s="26" t="s">
        <v>40</v>
      </c>
      <c r="CS98" s="26" t="s">
        <v>40</v>
      </c>
      <c r="CU98" s="26" t="s">
        <v>40</v>
      </c>
      <c r="CW98" s="26" t="s">
        <v>40</v>
      </c>
      <c r="CY98" s="26" t="s">
        <v>40</v>
      </c>
      <c r="DA98" s="26" t="s">
        <v>40</v>
      </c>
      <c r="DC98" s="26" t="s">
        <v>40</v>
      </c>
      <c r="DE98" s="26" t="s">
        <v>40</v>
      </c>
      <c r="DG98" s="26" t="s">
        <v>40</v>
      </c>
      <c r="DI98" s="26" t="s">
        <v>40</v>
      </c>
      <c r="DK98" s="26" t="s">
        <v>40</v>
      </c>
      <c r="DM98" s="26" t="s">
        <v>40</v>
      </c>
      <c r="DO98" s="26" t="s">
        <v>40</v>
      </c>
      <c r="DQ98" s="26" t="s">
        <v>40</v>
      </c>
      <c r="DS98" s="26" t="s">
        <v>40</v>
      </c>
      <c r="DU98" s="26" t="s">
        <v>40</v>
      </c>
      <c r="DW98" s="26" t="s">
        <v>40</v>
      </c>
      <c r="DY98" s="26" t="s">
        <v>40</v>
      </c>
      <c r="EA98" s="26" t="s">
        <v>40</v>
      </c>
      <c r="EC98" s="26" t="s">
        <v>40</v>
      </c>
      <c r="EE98" s="26" t="s">
        <v>40</v>
      </c>
      <c r="EG98" s="26" t="s">
        <v>40</v>
      </c>
      <c r="EI98" s="26" t="s">
        <v>40</v>
      </c>
      <c r="EK98" s="26" t="s">
        <v>40</v>
      </c>
      <c r="EM98" s="26" t="s">
        <v>40</v>
      </c>
      <c r="EO98" s="26" t="s">
        <v>40</v>
      </c>
      <c r="EQ98" s="26" t="s">
        <v>40</v>
      </c>
      <c r="ES98" s="26" t="s">
        <v>40</v>
      </c>
      <c r="EU98" s="26" t="s">
        <v>40</v>
      </c>
      <c r="EW98" s="26" t="s">
        <v>40</v>
      </c>
      <c r="EY98" s="26" t="s">
        <v>40</v>
      </c>
      <c r="FA98" s="26" t="s">
        <v>40</v>
      </c>
      <c r="FC98" s="26" t="s">
        <v>40</v>
      </c>
      <c r="FE98" s="26" t="s">
        <v>40</v>
      </c>
      <c r="FG98" s="26" t="s">
        <v>40</v>
      </c>
      <c r="FI98" s="26" t="s">
        <v>40</v>
      </c>
      <c r="FK98" s="26" t="s">
        <v>40</v>
      </c>
      <c r="FM98" s="26" t="s">
        <v>40</v>
      </c>
      <c r="FO98" s="26" t="s">
        <v>40</v>
      </c>
      <c r="FQ98" s="26" t="s">
        <v>40</v>
      </c>
      <c r="FS98" s="26" t="s">
        <v>40</v>
      </c>
      <c r="FU98" s="26" t="s">
        <v>40</v>
      </c>
      <c r="FW98" s="26" t="s">
        <v>40</v>
      </c>
      <c r="FY98" s="26" t="s">
        <v>40</v>
      </c>
      <c r="GA98" s="26" t="s">
        <v>40</v>
      </c>
      <c r="GC98" s="26" t="s">
        <v>40</v>
      </c>
      <c r="GE98" s="26" t="s">
        <v>40</v>
      </c>
      <c r="GG98" s="26" t="s">
        <v>40</v>
      </c>
      <c r="GI98" s="26" t="s">
        <v>40</v>
      </c>
      <c r="GK98" s="26" t="s">
        <v>40</v>
      </c>
      <c r="GM98" s="26" t="s">
        <v>40</v>
      </c>
      <c r="GO98" s="26" t="s">
        <v>40</v>
      </c>
      <c r="GQ98" s="26" t="s">
        <v>40</v>
      </c>
      <c r="GS98" s="26" t="s">
        <v>40</v>
      </c>
      <c r="GU98" s="26" t="s">
        <v>40</v>
      </c>
      <c r="GW98" s="26" t="s">
        <v>40</v>
      </c>
      <c r="GY98" s="26" t="s">
        <v>40</v>
      </c>
      <c r="HA98" s="26" t="s">
        <v>40</v>
      </c>
      <c r="HC98" s="26" t="s">
        <v>40</v>
      </c>
    </row>
    <row r="99" spans="59:211" x14ac:dyDescent="0.2">
      <c r="BG99" s="10" t="s">
        <v>40</v>
      </c>
      <c r="BI99" s="10" t="s">
        <v>40</v>
      </c>
      <c r="BK99" s="10" t="s">
        <v>40</v>
      </c>
      <c r="BM99" s="10" t="s">
        <v>40</v>
      </c>
      <c r="BO99" s="10" t="s">
        <v>40</v>
      </c>
      <c r="BQ99" s="10" t="s">
        <v>40</v>
      </c>
      <c r="BS99" s="10" t="s">
        <v>40</v>
      </c>
      <c r="BU99" s="10" t="s">
        <v>40</v>
      </c>
      <c r="BW99" s="10" t="s">
        <v>40</v>
      </c>
      <c r="BY99" s="10" t="s">
        <v>40</v>
      </c>
      <c r="CA99" s="10" t="s">
        <v>40</v>
      </c>
      <c r="CC99" s="10" t="s">
        <v>40</v>
      </c>
      <c r="CE99" s="10" t="s">
        <v>40</v>
      </c>
      <c r="CG99" s="10" t="s">
        <v>40</v>
      </c>
      <c r="CI99" s="10" t="s">
        <v>40</v>
      </c>
      <c r="CK99" s="10" t="s">
        <v>40</v>
      </c>
      <c r="CM99" s="10" t="s">
        <v>40</v>
      </c>
      <c r="CO99" s="10" t="s">
        <v>40</v>
      </c>
      <c r="CQ99" s="10" t="s">
        <v>40</v>
      </c>
      <c r="CS99" s="10" t="s">
        <v>40</v>
      </c>
      <c r="CU99" s="10" t="s">
        <v>40</v>
      </c>
      <c r="CW99" s="10" t="s">
        <v>40</v>
      </c>
      <c r="CY99" s="10" t="s">
        <v>40</v>
      </c>
      <c r="DA99" s="10" t="s">
        <v>40</v>
      </c>
      <c r="DC99" s="10" t="s">
        <v>40</v>
      </c>
      <c r="DE99" s="10" t="s">
        <v>40</v>
      </c>
      <c r="DG99" s="10" t="s">
        <v>40</v>
      </c>
      <c r="DI99" s="10" t="s">
        <v>40</v>
      </c>
      <c r="DK99" s="10" t="s">
        <v>40</v>
      </c>
      <c r="DM99" s="10" t="s">
        <v>40</v>
      </c>
      <c r="DO99" s="10" t="s">
        <v>40</v>
      </c>
      <c r="DQ99" s="10" t="s">
        <v>40</v>
      </c>
      <c r="DS99" s="10" t="s">
        <v>40</v>
      </c>
      <c r="DU99" s="10" t="s">
        <v>40</v>
      </c>
      <c r="DW99" s="10" t="s">
        <v>40</v>
      </c>
      <c r="DY99" s="10" t="s">
        <v>40</v>
      </c>
      <c r="EA99" s="10" t="s">
        <v>40</v>
      </c>
      <c r="EC99" s="10" t="s">
        <v>40</v>
      </c>
      <c r="EE99" s="10" t="s">
        <v>40</v>
      </c>
      <c r="EG99" s="10" t="s">
        <v>40</v>
      </c>
      <c r="EI99" s="10" t="s">
        <v>40</v>
      </c>
      <c r="EK99" s="10" t="s">
        <v>40</v>
      </c>
      <c r="EM99" s="10" t="s">
        <v>40</v>
      </c>
      <c r="EO99" s="10" t="s">
        <v>40</v>
      </c>
      <c r="EQ99" s="10" t="s">
        <v>40</v>
      </c>
      <c r="ES99" s="10" t="s">
        <v>40</v>
      </c>
      <c r="EU99" s="10" t="s">
        <v>40</v>
      </c>
      <c r="EW99" s="10" t="s">
        <v>40</v>
      </c>
      <c r="EY99" s="10" t="s">
        <v>40</v>
      </c>
      <c r="FA99" s="10" t="s">
        <v>40</v>
      </c>
      <c r="FC99" s="10" t="s">
        <v>40</v>
      </c>
      <c r="FE99" s="10" t="s">
        <v>40</v>
      </c>
      <c r="FG99" s="10" t="s">
        <v>40</v>
      </c>
      <c r="FI99" s="10" t="s">
        <v>40</v>
      </c>
      <c r="FK99" s="10" t="s">
        <v>40</v>
      </c>
      <c r="FM99" s="10" t="s">
        <v>40</v>
      </c>
      <c r="FO99" s="10" t="s">
        <v>40</v>
      </c>
      <c r="FQ99" s="10" t="s">
        <v>40</v>
      </c>
      <c r="FS99" s="10" t="s">
        <v>40</v>
      </c>
      <c r="FU99" s="10" t="s">
        <v>40</v>
      </c>
      <c r="FW99" s="10" t="s">
        <v>40</v>
      </c>
      <c r="FY99" s="10" t="s">
        <v>40</v>
      </c>
      <c r="GA99" s="10" t="s">
        <v>40</v>
      </c>
      <c r="GC99" s="10" t="s">
        <v>40</v>
      </c>
      <c r="GE99" s="10" t="s">
        <v>40</v>
      </c>
      <c r="GG99" s="10" t="s">
        <v>40</v>
      </c>
      <c r="GI99" s="10" t="s">
        <v>40</v>
      </c>
      <c r="GK99" s="10" t="s">
        <v>40</v>
      </c>
      <c r="GM99" s="10" t="s">
        <v>40</v>
      </c>
      <c r="GO99" s="10" t="s">
        <v>40</v>
      </c>
      <c r="GQ99" s="10" t="s">
        <v>40</v>
      </c>
      <c r="GS99" s="10" t="s">
        <v>40</v>
      </c>
      <c r="GU99" s="10" t="s">
        <v>40</v>
      </c>
      <c r="GW99" s="10" t="s">
        <v>40</v>
      </c>
      <c r="GY99" s="10" t="s">
        <v>40</v>
      </c>
      <c r="HA99" s="10" t="s">
        <v>40</v>
      </c>
      <c r="HC99" s="10" t="s">
        <v>40</v>
      </c>
    </row>
    <row r="101" spans="59:211" x14ac:dyDescent="0.2">
      <c r="BI101" s="26" t="s">
        <v>40</v>
      </c>
      <c r="BK101" s="26" t="s">
        <v>40</v>
      </c>
      <c r="BM101" s="26" t="s">
        <v>40</v>
      </c>
      <c r="BO101" s="26" t="s">
        <v>40</v>
      </c>
      <c r="BQ101" s="26" t="s">
        <v>40</v>
      </c>
      <c r="BS101" s="26" t="s">
        <v>40</v>
      </c>
      <c r="BU101" s="26" t="s">
        <v>40</v>
      </c>
      <c r="BW101" s="26" t="s">
        <v>40</v>
      </c>
      <c r="BY101" s="26" t="s">
        <v>40</v>
      </c>
      <c r="CA101" s="26" t="s">
        <v>40</v>
      </c>
      <c r="CC101" s="26" t="s">
        <v>40</v>
      </c>
      <c r="CE101" s="26" t="s">
        <v>40</v>
      </c>
      <c r="CG101" s="26" t="s">
        <v>40</v>
      </c>
      <c r="CI101" s="26" t="s">
        <v>40</v>
      </c>
      <c r="CK101" s="26" t="s">
        <v>40</v>
      </c>
      <c r="CM101" s="26" t="s">
        <v>40</v>
      </c>
      <c r="CO101" s="26" t="s">
        <v>40</v>
      </c>
      <c r="CQ101" s="26" t="s">
        <v>40</v>
      </c>
      <c r="CS101" s="26" t="s">
        <v>40</v>
      </c>
      <c r="CU101" s="26" t="s">
        <v>40</v>
      </c>
      <c r="CW101" s="26" t="s">
        <v>40</v>
      </c>
      <c r="CY101" s="26" t="s">
        <v>40</v>
      </c>
      <c r="DA101" s="26" t="s">
        <v>40</v>
      </c>
      <c r="DC101" s="26" t="s">
        <v>40</v>
      </c>
      <c r="DE101" s="26" t="s">
        <v>40</v>
      </c>
      <c r="DG101" s="26" t="s">
        <v>40</v>
      </c>
      <c r="DI101" s="26" t="s">
        <v>40</v>
      </c>
      <c r="DK101" s="26" t="s">
        <v>40</v>
      </c>
      <c r="DM101" s="26" t="s">
        <v>40</v>
      </c>
      <c r="DO101" s="26" t="s">
        <v>40</v>
      </c>
      <c r="DQ101" s="26" t="s">
        <v>40</v>
      </c>
      <c r="DS101" s="26" t="s">
        <v>40</v>
      </c>
      <c r="DU101" s="26" t="s">
        <v>40</v>
      </c>
      <c r="DW101" s="26" t="s">
        <v>40</v>
      </c>
      <c r="DY101" s="26" t="s">
        <v>40</v>
      </c>
      <c r="EA101" s="26" t="s">
        <v>40</v>
      </c>
      <c r="EC101" s="26" t="s">
        <v>40</v>
      </c>
      <c r="EE101" s="26" t="s">
        <v>40</v>
      </c>
      <c r="EG101" s="26" t="s">
        <v>40</v>
      </c>
      <c r="EI101" s="26" t="s">
        <v>40</v>
      </c>
      <c r="EK101" s="26" t="s">
        <v>40</v>
      </c>
      <c r="EM101" s="26" t="s">
        <v>40</v>
      </c>
      <c r="EO101" s="26" t="s">
        <v>40</v>
      </c>
      <c r="EQ101" s="26" t="s">
        <v>40</v>
      </c>
      <c r="ES101" s="26" t="s">
        <v>40</v>
      </c>
      <c r="EU101" s="26" t="s">
        <v>40</v>
      </c>
      <c r="EW101" s="26" t="s">
        <v>40</v>
      </c>
      <c r="EY101" s="26" t="s">
        <v>40</v>
      </c>
      <c r="FA101" s="26" t="s">
        <v>40</v>
      </c>
      <c r="FC101" s="26" t="s">
        <v>40</v>
      </c>
      <c r="FE101" s="26" t="s">
        <v>40</v>
      </c>
      <c r="FG101" s="26" t="s">
        <v>40</v>
      </c>
      <c r="FI101" s="26" t="s">
        <v>40</v>
      </c>
      <c r="FK101" s="26" t="s">
        <v>40</v>
      </c>
      <c r="FM101" s="26" t="s">
        <v>40</v>
      </c>
      <c r="FO101" s="26" t="s">
        <v>40</v>
      </c>
      <c r="FQ101" s="26" t="s">
        <v>40</v>
      </c>
      <c r="FS101" s="26" t="s">
        <v>40</v>
      </c>
      <c r="FU101" s="26" t="s">
        <v>40</v>
      </c>
      <c r="FW101" s="26" t="s">
        <v>40</v>
      </c>
      <c r="FY101" s="26" t="s">
        <v>40</v>
      </c>
      <c r="GA101" s="26" t="s">
        <v>40</v>
      </c>
      <c r="GC101" s="26" t="s">
        <v>40</v>
      </c>
      <c r="GE101" s="26" t="s">
        <v>40</v>
      </c>
      <c r="GG101" s="26" t="s">
        <v>40</v>
      </c>
      <c r="GI101" s="26" t="s">
        <v>40</v>
      </c>
      <c r="GK101" s="26" t="s">
        <v>40</v>
      </c>
      <c r="GM101" s="26" t="s">
        <v>40</v>
      </c>
      <c r="GO101" s="26" t="s">
        <v>40</v>
      </c>
      <c r="GQ101" s="26" t="s">
        <v>40</v>
      </c>
      <c r="GS101" s="26" t="s">
        <v>40</v>
      </c>
      <c r="GU101" s="26" t="s">
        <v>40</v>
      </c>
      <c r="GW101" s="26" t="s">
        <v>40</v>
      </c>
      <c r="GY101" s="26" t="s">
        <v>40</v>
      </c>
      <c r="HA101" s="26" t="s">
        <v>40</v>
      </c>
      <c r="HC101" s="26" t="s">
        <v>40</v>
      </c>
    </row>
    <row r="102" spans="59:211" x14ac:dyDescent="0.2">
      <c r="BI102" s="10" t="s">
        <v>40</v>
      </c>
      <c r="BK102" s="10" t="s">
        <v>40</v>
      </c>
      <c r="BM102" s="10" t="s">
        <v>40</v>
      </c>
      <c r="BO102" s="10" t="s">
        <v>40</v>
      </c>
      <c r="BQ102" s="10" t="s">
        <v>40</v>
      </c>
      <c r="BS102" s="10" t="s">
        <v>40</v>
      </c>
      <c r="BU102" s="10" t="s">
        <v>40</v>
      </c>
      <c r="BW102" s="10" t="s">
        <v>40</v>
      </c>
      <c r="BY102" s="10" t="s">
        <v>40</v>
      </c>
      <c r="CA102" s="10" t="s">
        <v>40</v>
      </c>
      <c r="CC102" s="10" t="s">
        <v>40</v>
      </c>
      <c r="CE102" s="10" t="s">
        <v>40</v>
      </c>
      <c r="CG102" s="10" t="s">
        <v>40</v>
      </c>
      <c r="CI102" s="10" t="s">
        <v>40</v>
      </c>
      <c r="CK102" s="10" t="s">
        <v>40</v>
      </c>
      <c r="CM102" s="10" t="s">
        <v>40</v>
      </c>
      <c r="CO102" s="10" t="s">
        <v>40</v>
      </c>
      <c r="CQ102" s="10" t="s">
        <v>40</v>
      </c>
      <c r="CS102" s="10" t="s">
        <v>40</v>
      </c>
      <c r="CU102" s="10" t="s">
        <v>40</v>
      </c>
      <c r="CW102" s="10" t="s">
        <v>40</v>
      </c>
      <c r="CY102" s="10" t="s">
        <v>40</v>
      </c>
      <c r="DA102" s="10" t="s">
        <v>40</v>
      </c>
      <c r="DC102" s="10" t="s">
        <v>40</v>
      </c>
      <c r="DE102" s="10" t="s">
        <v>40</v>
      </c>
      <c r="DG102" s="10" t="s">
        <v>40</v>
      </c>
      <c r="DI102" s="10" t="s">
        <v>40</v>
      </c>
      <c r="DK102" s="10" t="s">
        <v>40</v>
      </c>
      <c r="DM102" s="10" t="s">
        <v>40</v>
      </c>
      <c r="DO102" s="10" t="s">
        <v>40</v>
      </c>
      <c r="DQ102" s="10" t="s">
        <v>40</v>
      </c>
      <c r="DS102" s="10" t="s">
        <v>40</v>
      </c>
      <c r="DU102" s="10" t="s">
        <v>40</v>
      </c>
      <c r="DW102" s="10" t="s">
        <v>40</v>
      </c>
      <c r="DY102" s="10" t="s">
        <v>40</v>
      </c>
      <c r="EA102" s="10" t="s">
        <v>40</v>
      </c>
      <c r="EC102" s="10" t="s">
        <v>40</v>
      </c>
      <c r="EE102" s="10" t="s">
        <v>40</v>
      </c>
      <c r="EG102" s="10" t="s">
        <v>40</v>
      </c>
      <c r="EI102" s="10" t="s">
        <v>40</v>
      </c>
      <c r="EK102" s="10" t="s">
        <v>40</v>
      </c>
      <c r="EM102" s="10" t="s">
        <v>40</v>
      </c>
      <c r="EO102" s="10" t="s">
        <v>40</v>
      </c>
      <c r="EQ102" s="10" t="s">
        <v>40</v>
      </c>
      <c r="ES102" s="10" t="s">
        <v>40</v>
      </c>
      <c r="EU102" s="10" t="s">
        <v>40</v>
      </c>
      <c r="EW102" s="10" t="s">
        <v>40</v>
      </c>
      <c r="EY102" s="10" t="s">
        <v>40</v>
      </c>
      <c r="FA102" s="10" t="s">
        <v>40</v>
      </c>
      <c r="FC102" s="10" t="s">
        <v>40</v>
      </c>
      <c r="FE102" s="10" t="s">
        <v>40</v>
      </c>
      <c r="FG102" s="10" t="s">
        <v>40</v>
      </c>
      <c r="FI102" s="10" t="s">
        <v>40</v>
      </c>
      <c r="FK102" s="10" t="s">
        <v>40</v>
      </c>
      <c r="FM102" s="10" t="s">
        <v>40</v>
      </c>
      <c r="FO102" s="10" t="s">
        <v>40</v>
      </c>
      <c r="FQ102" s="10" t="s">
        <v>40</v>
      </c>
      <c r="FS102" s="10" t="s">
        <v>40</v>
      </c>
      <c r="FU102" s="10" t="s">
        <v>40</v>
      </c>
      <c r="FW102" s="10" t="s">
        <v>40</v>
      </c>
      <c r="FY102" s="10" t="s">
        <v>40</v>
      </c>
      <c r="GA102" s="10" t="s">
        <v>40</v>
      </c>
      <c r="GC102" s="10" t="s">
        <v>40</v>
      </c>
      <c r="GE102" s="10" t="s">
        <v>40</v>
      </c>
      <c r="GG102" s="10" t="s">
        <v>40</v>
      </c>
      <c r="GI102" s="10" t="s">
        <v>40</v>
      </c>
      <c r="GK102" s="10" t="s">
        <v>40</v>
      </c>
      <c r="GM102" s="10" t="s">
        <v>40</v>
      </c>
      <c r="GO102" s="10" t="s">
        <v>40</v>
      </c>
      <c r="GQ102" s="10" t="s">
        <v>40</v>
      </c>
      <c r="GS102" s="10" t="s">
        <v>40</v>
      </c>
      <c r="GU102" s="10" t="s">
        <v>40</v>
      </c>
      <c r="GW102" s="10" t="s">
        <v>40</v>
      </c>
      <c r="GY102" s="10" t="s">
        <v>40</v>
      </c>
      <c r="HA102" s="10" t="s">
        <v>40</v>
      </c>
      <c r="HC102" s="10" t="s">
        <v>40</v>
      </c>
    </row>
    <row r="104" spans="59:211" x14ac:dyDescent="0.2">
      <c r="BK104" s="26" t="s">
        <v>40</v>
      </c>
      <c r="BM104" s="26" t="s">
        <v>40</v>
      </c>
      <c r="BO104" s="26" t="s">
        <v>40</v>
      </c>
      <c r="BQ104" s="26" t="s">
        <v>40</v>
      </c>
      <c r="BS104" s="26" t="s">
        <v>40</v>
      </c>
      <c r="BU104" s="26" t="s">
        <v>40</v>
      </c>
      <c r="BW104" s="26" t="s">
        <v>40</v>
      </c>
      <c r="BY104" s="26" t="s">
        <v>40</v>
      </c>
      <c r="CA104" s="26" t="s">
        <v>40</v>
      </c>
      <c r="CC104" s="26" t="s">
        <v>40</v>
      </c>
      <c r="CE104" s="26" t="s">
        <v>40</v>
      </c>
      <c r="CG104" s="26" t="s">
        <v>40</v>
      </c>
      <c r="CI104" s="26" t="s">
        <v>40</v>
      </c>
      <c r="CK104" s="26" t="s">
        <v>40</v>
      </c>
      <c r="CM104" s="26" t="s">
        <v>40</v>
      </c>
      <c r="CO104" s="26" t="s">
        <v>40</v>
      </c>
      <c r="CQ104" s="26" t="s">
        <v>40</v>
      </c>
      <c r="CS104" s="26" t="s">
        <v>40</v>
      </c>
      <c r="CU104" s="26" t="s">
        <v>40</v>
      </c>
      <c r="CW104" s="26" t="s">
        <v>40</v>
      </c>
      <c r="CY104" s="26" t="s">
        <v>40</v>
      </c>
      <c r="DA104" s="26" t="s">
        <v>40</v>
      </c>
      <c r="DC104" s="26" t="s">
        <v>40</v>
      </c>
      <c r="DE104" s="26" t="s">
        <v>40</v>
      </c>
      <c r="DG104" s="26" t="s">
        <v>40</v>
      </c>
      <c r="DI104" s="26" t="s">
        <v>40</v>
      </c>
      <c r="DK104" s="26" t="s">
        <v>40</v>
      </c>
      <c r="DM104" s="26" t="s">
        <v>40</v>
      </c>
      <c r="DO104" s="26" t="s">
        <v>40</v>
      </c>
      <c r="DQ104" s="26" t="s">
        <v>40</v>
      </c>
      <c r="DS104" s="26" t="s">
        <v>40</v>
      </c>
      <c r="DU104" s="26" t="s">
        <v>40</v>
      </c>
      <c r="DW104" s="26" t="s">
        <v>40</v>
      </c>
      <c r="DY104" s="26" t="s">
        <v>40</v>
      </c>
      <c r="EA104" s="26" t="s">
        <v>40</v>
      </c>
      <c r="EC104" s="26" t="s">
        <v>40</v>
      </c>
      <c r="EE104" s="26" t="s">
        <v>40</v>
      </c>
      <c r="EG104" s="26" t="s">
        <v>40</v>
      </c>
      <c r="EI104" s="26" t="s">
        <v>40</v>
      </c>
      <c r="EK104" s="26" t="s">
        <v>40</v>
      </c>
      <c r="EM104" s="26" t="s">
        <v>40</v>
      </c>
      <c r="EO104" s="26" t="s">
        <v>40</v>
      </c>
      <c r="EQ104" s="26" t="s">
        <v>40</v>
      </c>
      <c r="ES104" s="26" t="s">
        <v>40</v>
      </c>
      <c r="EU104" s="26" t="s">
        <v>40</v>
      </c>
      <c r="EW104" s="26" t="s">
        <v>40</v>
      </c>
      <c r="EY104" s="26" t="s">
        <v>40</v>
      </c>
      <c r="FA104" s="26" t="s">
        <v>40</v>
      </c>
      <c r="FC104" s="26" t="s">
        <v>40</v>
      </c>
      <c r="FE104" s="26" t="s">
        <v>40</v>
      </c>
      <c r="FG104" s="26" t="s">
        <v>40</v>
      </c>
      <c r="FI104" s="26" t="s">
        <v>40</v>
      </c>
      <c r="FK104" s="26" t="s">
        <v>40</v>
      </c>
      <c r="FM104" s="26" t="s">
        <v>40</v>
      </c>
      <c r="FO104" s="26" t="s">
        <v>40</v>
      </c>
      <c r="FQ104" s="26" t="s">
        <v>40</v>
      </c>
      <c r="FS104" s="26" t="s">
        <v>40</v>
      </c>
      <c r="FU104" s="26" t="s">
        <v>40</v>
      </c>
      <c r="FW104" s="26" t="s">
        <v>40</v>
      </c>
      <c r="FY104" s="26" t="s">
        <v>40</v>
      </c>
      <c r="GA104" s="26" t="s">
        <v>40</v>
      </c>
      <c r="GC104" s="26" t="s">
        <v>40</v>
      </c>
      <c r="GE104" s="26" t="s">
        <v>40</v>
      </c>
      <c r="GG104" s="26" t="s">
        <v>40</v>
      </c>
      <c r="GI104" s="26" t="s">
        <v>40</v>
      </c>
      <c r="GK104" s="26" t="s">
        <v>40</v>
      </c>
      <c r="GM104" s="26" t="s">
        <v>40</v>
      </c>
      <c r="GO104" s="26" t="s">
        <v>40</v>
      </c>
      <c r="GQ104" s="26" t="s">
        <v>40</v>
      </c>
      <c r="GS104" s="26" t="s">
        <v>40</v>
      </c>
      <c r="GU104" s="26" t="s">
        <v>40</v>
      </c>
      <c r="GW104" s="26" t="s">
        <v>40</v>
      </c>
      <c r="GY104" s="26" t="s">
        <v>40</v>
      </c>
      <c r="HA104" s="26" t="s">
        <v>40</v>
      </c>
      <c r="HC104" s="26" t="s">
        <v>40</v>
      </c>
    </row>
    <row r="105" spans="59:211" x14ac:dyDescent="0.2">
      <c r="BK105" s="10" t="s">
        <v>40</v>
      </c>
      <c r="BM105" s="10" t="s">
        <v>40</v>
      </c>
      <c r="BO105" s="10" t="s">
        <v>40</v>
      </c>
      <c r="BQ105" s="10" t="s">
        <v>40</v>
      </c>
      <c r="BS105" s="10" t="s">
        <v>40</v>
      </c>
      <c r="BU105" s="10" t="s">
        <v>40</v>
      </c>
      <c r="BW105" s="10" t="s">
        <v>40</v>
      </c>
      <c r="BY105" s="10" t="s">
        <v>40</v>
      </c>
      <c r="CA105" s="10" t="s">
        <v>40</v>
      </c>
      <c r="CC105" s="10" t="s">
        <v>40</v>
      </c>
      <c r="CE105" s="10" t="s">
        <v>40</v>
      </c>
      <c r="CG105" s="10" t="s">
        <v>40</v>
      </c>
      <c r="CI105" s="10" t="s">
        <v>40</v>
      </c>
      <c r="CK105" s="10" t="s">
        <v>40</v>
      </c>
      <c r="CM105" s="10" t="s">
        <v>40</v>
      </c>
      <c r="CO105" s="10" t="s">
        <v>40</v>
      </c>
      <c r="CQ105" s="10" t="s">
        <v>40</v>
      </c>
      <c r="CS105" s="10" t="s">
        <v>40</v>
      </c>
      <c r="CU105" s="10" t="s">
        <v>40</v>
      </c>
      <c r="CW105" s="10" t="s">
        <v>40</v>
      </c>
      <c r="CY105" s="10" t="s">
        <v>40</v>
      </c>
      <c r="DA105" s="10" t="s">
        <v>40</v>
      </c>
      <c r="DC105" s="10" t="s">
        <v>40</v>
      </c>
      <c r="DE105" s="10" t="s">
        <v>40</v>
      </c>
      <c r="DG105" s="10" t="s">
        <v>40</v>
      </c>
      <c r="DI105" s="10" t="s">
        <v>40</v>
      </c>
      <c r="DK105" s="10" t="s">
        <v>40</v>
      </c>
      <c r="DM105" s="10" t="s">
        <v>40</v>
      </c>
      <c r="DO105" s="10" t="s">
        <v>40</v>
      </c>
      <c r="DQ105" s="10" t="s">
        <v>40</v>
      </c>
      <c r="DS105" s="10" t="s">
        <v>40</v>
      </c>
      <c r="DU105" s="10" t="s">
        <v>40</v>
      </c>
      <c r="DW105" s="10" t="s">
        <v>40</v>
      </c>
      <c r="DY105" s="10" t="s">
        <v>40</v>
      </c>
      <c r="EA105" s="10" t="s">
        <v>40</v>
      </c>
      <c r="EC105" s="10" t="s">
        <v>40</v>
      </c>
      <c r="EE105" s="10" t="s">
        <v>40</v>
      </c>
      <c r="EG105" s="10" t="s">
        <v>40</v>
      </c>
      <c r="EI105" s="10" t="s">
        <v>40</v>
      </c>
      <c r="EK105" s="10" t="s">
        <v>40</v>
      </c>
      <c r="EM105" s="10" t="s">
        <v>40</v>
      </c>
      <c r="EO105" s="10" t="s">
        <v>40</v>
      </c>
      <c r="EQ105" s="10" t="s">
        <v>40</v>
      </c>
      <c r="ES105" s="10" t="s">
        <v>40</v>
      </c>
      <c r="EU105" s="10" t="s">
        <v>40</v>
      </c>
      <c r="EW105" s="10" t="s">
        <v>40</v>
      </c>
      <c r="EY105" s="10" t="s">
        <v>40</v>
      </c>
      <c r="FA105" s="10" t="s">
        <v>40</v>
      </c>
      <c r="FC105" s="10" t="s">
        <v>40</v>
      </c>
      <c r="FE105" s="10" t="s">
        <v>40</v>
      </c>
      <c r="FG105" s="10" t="s">
        <v>40</v>
      </c>
      <c r="FI105" s="10" t="s">
        <v>40</v>
      </c>
      <c r="FK105" s="10" t="s">
        <v>40</v>
      </c>
      <c r="FM105" s="10" t="s">
        <v>40</v>
      </c>
      <c r="FO105" s="10" t="s">
        <v>40</v>
      </c>
      <c r="FQ105" s="10" t="s">
        <v>40</v>
      </c>
      <c r="FS105" s="10" t="s">
        <v>40</v>
      </c>
      <c r="FU105" s="10" t="s">
        <v>40</v>
      </c>
      <c r="FW105" s="10" t="s">
        <v>40</v>
      </c>
      <c r="FY105" s="10" t="s">
        <v>40</v>
      </c>
      <c r="GA105" s="10" t="s">
        <v>40</v>
      </c>
      <c r="GC105" s="10" t="s">
        <v>40</v>
      </c>
      <c r="GE105" s="10" t="s">
        <v>40</v>
      </c>
      <c r="GG105" s="10" t="s">
        <v>40</v>
      </c>
      <c r="GI105" s="10" t="s">
        <v>40</v>
      </c>
      <c r="GK105" s="10" t="s">
        <v>40</v>
      </c>
      <c r="GM105" s="10" t="s">
        <v>40</v>
      </c>
      <c r="GO105" s="10" t="s">
        <v>40</v>
      </c>
      <c r="GQ105" s="10" t="s">
        <v>40</v>
      </c>
      <c r="GS105" s="10" t="s">
        <v>40</v>
      </c>
      <c r="GU105" s="10" t="s">
        <v>40</v>
      </c>
      <c r="GW105" s="10" t="s">
        <v>40</v>
      </c>
      <c r="GY105" s="10" t="s">
        <v>40</v>
      </c>
      <c r="HA105" s="10" t="s">
        <v>40</v>
      </c>
      <c r="HC105" s="10" t="s">
        <v>40</v>
      </c>
    </row>
    <row r="107" spans="59:211" x14ac:dyDescent="0.2">
      <c r="BM107" s="26" t="s">
        <v>40</v>
      </c>
      <c r="BO107" s="26" t="s">
        <v>40</v>
      </c>
      <c r="BQ107" s="26" t="s">
        <v>40</v>
      </c>
      <c r="BS107" s="26" t="s">
        <v>40</v>
      </c>
      <c r="BU107" s="26" t="s">
        <v>40</v>
      </c>
      <c r="BW107" s="26" t="s">
        <v>40</v>
      </c>
      <c r="BY107" s="26" t="s">
        <v>40</v>
      </c>
      <c r="CA107" s="26" t="s">
        <v>40</v>
      </c>
      <c r="CC107" s="26" t="s">
        <v>40</v>
      </c>
      <c r="CE107" s="26" t="s">
        <v>40</v>
      </c>
      <c r="CG107" s="26" t="s">
        <v>40</v>
      </c>
      <c r="CI107" s="26" t="s">
        <v>40</v>
      </c>
      <c r="CK107" s="26" t="s">
        <v>40</v>
      </c>
      <c r="CM107" s="26" t="s">
        <v>40</v>
      </c>
      <c r="CO107" s="26" t="s">
        <v>40</v>
      </c>
      <c r="CQ107" s="26" t="s">
        <v>40</v>
      </c>
      <c r="CS107" s="26" t="s">
        <v>40</v>
      </c>
      <c r="CU107" s="26" t="s">
        <v>40</v>
      </c>
      <c r="CW107" s="26" t="s">
        <v>40</v>
      </c>
      <c r="CY107" s="26" t="s">
        <v>40</v>
      </c>
      <c r="DA107" s="26" t="s">
        <v>40</v>
      </c>
      <c r="DC107" s="26" t="s">
        <v>40</v>
      </c>
      <c r="DE107" s="26" t="s">
        <v>40</v>
      </c>
      <c r="DG107" s="26" t="s">
        <v>40</v>
      </c>
      <c r="DI107" s="26" t="s">
        <v>40</v>
      </c>
      <c r="DK107" s="26" t="s">
        <v>40</v>
      </c>
      <c r="DM107" s="26" t="s">
        <v>40</v>
      </c>
      <c r="DO107" s="26" t="s">
        <v>40</v>
      </c>
      <c r="DQ107" s="26" t="s">
        <v>40</v>
      </c>
      <c r="DS107" s="26" t="s">
        <v>40</v>
      </c>
      <c r="DU107" s="26" t="s">
        <v>40</v>
      </c>
      <c r="DW107" s="26" t="s">
        <v>40</v>
      </c>
      <c r="DY107" s="26" t="s">
        <v>40</v>
      </c>
      <c r="EA107" s="26" t="s">
        <v>40</v>
      </c>
      <c r="EC107" s="26" t="s">
        <v>40</v>
      </c>
      <c r="EE107" s="26" t="s">
        <v>40</v>
      </c>
      <c r="EG107" s="26" t="s">
        <v>40</v>
      </c>
      <c r="EI107" s="26" t="s">
        <v>40</v>
      </c>
      <c r="EK107" s="26" t="s">
        <v>40</v>
      </c>
      <c r="EM107" s="26" t="s">
        <v>40</v>
      </c>
      <c r="EO107" s="26" t="s">
        <v>40</v>
      </c>
      <c r="EQ107" s="26" t="s">
        <v>40</v>
      </c>
      <c r="ES107" s="26" t="s">
        <v>40</v>
      </c>
      <c r="EU107" s="26" t="s">
        <v>40</v>
      </c>
      <c r="EW107" s="26" t="s">
        <v>40</v>
      </c>
      <c r="EY107" s="26" t="s">
        <v>40</v>
      </c>
      <c r="FA107" s="26" t="s">
        <v>40</v>
      </c>
      <c r="FC107" s="26" t="s">
        <v>40</v>
      </c>
      <c r="FE107" s="26" t="s">
        <v>40</v>
      </c>
      <c r="FG107" s="26" t="s">
        <v>40</v>
      </c>
      <c r="FI107" s="26" t="s">
        <v>40</v>
      </c>
      <c r="FK107" s="26" t="s">
        <v>40</v>
      </c>
      <c r="FM107" s="26" t="s">
        <v>40</v>
      </c>
      <c r="FO107" s="26" t="s">
        <v>40</v>
      </c>
      <c r="FQ107" s="26" t="s">
        <v>40</v>
      </c>
      <c r="FS107" s="26" t="s">
        <v>40</v>
      </c>
      <c r="FU107" s="26" t="s">
        <v>40</v>
      </c>
      <c r="FW107" s="26" t="s">
        <v>40</v>
      </c>
      <c r="FY107" s="26" t="s">
        <v>40</v>
      </c>
      <c r="GA107" s="26" t="s">
        <v>40</v>
      </c>
      <c r="GC107" s="26" t="s">
        <v>40</v>
      </c>
      <c r="GE107" s="26" t="s">
        <v>40</v>
      </c>
      <c r="GG107" s="26" t="s">
        <v>40</v>
      </c>
      <c r="GI107" s="26" t="s">
        <v>40</v>
      </c>
      <c r="GK107" s="26" t="s">
        <v>40</v>
      </c>
      <c r="GM107" s="26" t="s">
        <v>40</v>
      </c>
      <c r="GO107" s="26" t="s">
        <v>40</v>
      </c>
      <c r="GQ107" s="26" t="s">
        <v>40</v>
      </c>
      <c r="GS107" s="26" t="s">
        <v>40</v>
      </c>
      <c r="GU107" s="26" t="s">
        <v>40</v>
      </c>
      <c r="GW107" s="26" t="s">
        <v>40</v>
      </c>
      <c r="GY107" s="26" t="s">
        <v>40</v>
      </c>
      <c r="HA107" s="26" t="s">
        <v>40</v>
      </c>
      <c r="HC107" s="26" t="s">
        <v>40</v>
      </c>
    </row>
    <row r="108" spans="59:211" x14ac:dyDescent="0.2">
      <c r="BM108" s="10" t="s">
        <v>40</v>
      </c>
      <c r="BO108" s="10" t="s">
        <v>40</v>
      </c>
      <c r="BQ108" s="10" t="s">
        <v>40</v>
      </c>
      <c r="BS108" s="10" t="s">
        <v>40</v>
      </c>
      <c r="BU108" s="10" t="s">
        <v>40</v>
      </c>
      <c r="BW108" s="10" t="s">
        <v>40</v>
      </c>
      <c r="BY108" s="10" t="s">
        <v>40</v>
      </c>
      <c r="CA108" s="10" t="s">
        <v>40</v>
      </c>
      <c r="CC108" s="10" t="s">
        <v>40</v>
      </c>
      <c r="CE108" s="10" t="s">
        <v>40</v>
      </c>
      <c r="CG108" s="10" t="s">
        <v>40</v>
      </c>
      <c r="CI108" s="10" t="s">
        <v>40</v>
      </c>
      <c r="CK108" s="10" t="s">
        <v>40</v>
      </c>
      <c r="CM108" s="10" t="s">
        <v>40</v>
      </c>
      <c r="CO108" s="10" t="s">
        <v>40</v>
      </c>
      <c r="CQ108" s="10" t="s">
        <v>40</v>
      </c>
      <c r="CS108" s="10" t="s">
        <v>40</v>
      </c>
      <c r="CU108" s="10" t="s">
        <v>40</v>
      </c>
      <c r="CW108" s="10" t="s">
        <v>40</v>
      </c>
      <c r="CY108" s="10" t="s">
        <v>40</v>
      </c>
      <c r="DA108" s="10" t="s">
        <v>40</v>
      </c>
      <c r="DC108" s="10" t="s">
        <v>40</v>
      </c>
      <c r="DE108" s="10" t="s">
        <v>40</v>
      </c>
      <c r="DG108" s="10" t="s">
        <v>40</v>
      </c>
      <c r="DI108" s="10" t="s">
        <v>40</v>
      </c>
      <c r="DK108" s="10" t="s">
        <v>40</v>
      </c>
      <c r="DM108" s="10" t="s">
        <v>40</v>
      </c>
      <c r="DO108" s="10" t="s">
        <v>40</v>
      </c>
      <c r="DQ108" s="10" t="s">
        <v>40</v>
      </c>
      <c r="DS108" s="10" t="s">
        <v>40</v>
      </c>
      <c r="DU108" s="10" t="s">
        <v>40</v>
      </c>
      <c r="DW108" s="10" t="s">
        <v>40</v>
      </c>
      <c r="DY108" s="10" t="s">
        <v>40</v>
      </c>
      <c r="EA108" s="10" t="s">
        <v>40</v>
      </c>
      <c r="EC108" s="10" t="s">
        <v>40</v>
      </c>
      <c r="EE108" s="10" t="s">
        <v>40</v>
      </c>
      <c r="EG108" s="10" t="s">
        <v>40</v>
      </c>
      <c r="EI108" s="10" t="s">
        <v>40</v>
      </c>
      <c r="EK108" s="10" t="s">
        <v>40</v>
      </c>
      <c r="EM108" s="10" t="s">
        <v>40</v>
      </c>
      <c r="EO108" s="10" t="s">
        <v>40</v>
      </c>
      <c r="EQ108" s="10" t="s">
        <v>40</v>
      </c>
      <c r="ES108" s="10" t="s">
        <v>40</v>
      </c>
      <c r="EU108" s="10" t="s">
        <v>40</v>
      </c>
      <c r="EW108" s="10" t="s">
        <v>40</v>
      </c>
      <c r="EY108" s="10" t="s">
        <v>40</v>
      </c>
      <c r="FA108" s="10" t="s">
        <v>40</v>
      </c>
      <c r="FC108" s="10" t="s">
        <v>40</v>
      </c>
      <c r="FE108" s="10" t="s">
        <v>40</v>
      </c>
      <c r="FG108" s="10" t="s">
        <v>40</v>
      </c>
      <c r="FI108" s="10" t="s">
        <v>40</v>
      </c>
      <c r="FK108" s="10" t="s">
        <v>40</v>
      </c>
      <c r="FM108" s="10" t="s">
        <v>40</v>
      </c>
      <c r="FO108" s="10" t="s">
        <v>40</v>
      </c>
      <c r="FQ108" s="10" t="s">
        <v>40</v>
      </c>
      <c r="FS108" s="10" t="s">
        <v>40</v>
      </c>
      <c r="FU108" s="10" t="s">
        <v>40</v>
      </c>
      <c r="FW108" s="10" t="s">
        <v>40</v>
      </c>
      <c r="FY108" s="10" t="s">
        <v>40</v>
      </c>
      <c r="GA108" s="10" t="s">
        <v>40</v>
      </c>
      <c r="GC108" s="10" t="s">
        <v>40</v>
      </c>
      <c r="GE108" s="10" t="s">
        <v>40</v>
      </c>
      <c r="GG108" s="10" t="s">
        <v>40</v>
      </c>
      <c r="GI108" s="10" t="s">
        <v>40</v>
      </c>
      <c r="GK108" s="10" t="s">
        <v>40</v>
      </c>
      <c r="GM108" s="10" t="s">
        <v>40</v>
      </c>
      <c r="GO108" s="10" t="s">
        <v>40</v>
      </c>
      <c r="GQ108" s="10" t="s">
        <v>40</v>
      </c>
      <c r="GS108" s="10" t="s">
        <v>40</v>
      </c>
      <c r="GU108" s="10" t="s">
        <v>40</v>
      </c>
      <c r="GW108" s="10" t="s">
        <v>40</v>
      </c>
      <c r="GY108" s="10" t="s">
        <v>40</v>
      </c>
      <c r="HA108" s="10" t="s">
        <v>40</v>
      </c>
      <c r="HC108" s="10" t="s">
        <v>40</v>
      </c>
    </row>
    <row r="110" spans="59:211" x14ac:dyDescent="0.2">
      <c r="BO110" s="26" t="s">
        <v>40</v>
      </c>
      <c r="BQ110" s="26" t="s">
        <v>40</v>
      </c>
      <c r="BS110" s="26" t="s">
        <v>40</v>
      </c>
      <c r="BU110" s="26" t="s">
        <v>40</v>
      </c>
      <c r="BW110" s="26" t="s">
        <v>40</v>
      </c>
      <c r="BY110" s="26" t="s">
        <v>40</v>
      </c>
      <c r="CA110" s="26" t="s">
        <v>40</v>
      </c>
      <c r="CC110" s="26" t="s">
        <v>40</v>
      </c>
      <c r="CE110" s="26" t="s">
        <v>40</v>
      </c>
      <c r="CG110" s="26" t="s">
        <v>40</v>
      </c>
      <c r="CI110" s="26" t="s">
        <v>40</v>
      </c>
      <c r="CK110" s="26" t="s">
        <v>40</v>
      </c>
      <c r="CM110" s="26" t="s">
        <v>40</v>
      </c>
      <c r="CO110" s="26" t="s">
        <v>40</v>
      </c>
      <c r="CQ110" s="26" t="s">
        <v>40</v>
      </c>
      <c r="CS110" s="26" t="s">
        <v>40</v>
      </c>
      <c r="CU110" s="26" t="s">
        <v>40</v>
      </c>
      <c r="CW110" s="26" t="s">
        <v>40</v>
      </c>
      <c r="CY110" s="26" t="s">
        <v>40</v>
      </c>
      <c r="DA110" s="26" t="s">
        <v>40</v>
      </c>
      <c r="DC110" s="26" t="s">
        <v>40</v>
      </c>
      <c r="DE110" s="26" t="s">
        <v>40</v>
      </c>
      <c r="DG110" s="26" t="s">
        <v>40</v>
      </c>
      <c r="DI110" s="26" t="s">
        <v>40</v>
      </c>
      <c r="DK110" s="26" t="s">
        <v>40</v>
      </c>
      <c r="DM110" s="26" t="s">
        <v>40</v>
      </c>
      <c r="DO110" s="26" t="s">
        <v>40</v>
      </c>
      <c r="DQ110" s="26" t="s">
        <v>40</v>
      </c>
      <c r="DS110" s="26" t="s">
        <v>40</v>
      </c>
      <c r="DU110" s="26" t="s">
        <v>40</v>
      </c>
      <c r="DW110" s="26" t="s">
        <v>40</v>
      </c>
      <c r="DY110" s="26" t="s">
        <v>40</v>
      </c>
      <c r="EA110" s="26" t="s">
        <v>40</v>
      </c>
      <c r="EC110" s="26" t="s">
        <v>40</v>
      </c>
      <c r="EE110" s="26" t="s">
        <v>40</v>
      </c>
      <c r="EG110" s="26" t="s">
        <v>40</v>
      </c>
      <c r="EI110" s="26" t="s">
        <v>40</v>
      </c>
      <c r="EK110" s="26" t="s">
        <v>40</v>
      </c>
      <c r="EM110" s="26" t="s">
        <v>40</v>
      </c>
      <c r="EO110" s="26" t="s">
        <v>40</v>
      </c>
      <c r="EQ110" s="26" t="s">
        <v>40</v>
      </c>
      <c r="ES110" s="26" t="s">
        <v>40</v>
      </c>
      <c r="EU110" s="26" t="s">
        <v>40</v>
      </c>
      <c r="EW110" s="26" t="s">
        <v>40</v>
      </c>
      <c r="EY110" s="26" t="s">
        <v>40</v>
      </c>
      <c r="FA110" s="26" t="s">
        <v>40</v>
      </c>
      <c r="FC110" s="26" t="s">
        <v>40</v>
      </c>
      <c r="FE110" s="26" t="s">
        <v>40</v>
      </c>
      <c r="FG110" s="26" t="s">
        <v>40</v>
      </c>
      <c r="FI110" s="26" t="s">
        <v>40</v>
      </c>
      <c r="FK110" s="26" t="s">
        <v>40</v>
      </c>
      <c r="FM110" s="26" t="s">
        <v>40</v>
      </c>
      <c r="FO110" s="26" t="s">
        <v>40</v>
      </c>
      <c r="FQ110" s="26" t="s">
        <v>40</v>
      </c>
      <c r="FS110" s="26" t="s">
        <v>40</v>
      </c>
      <c r="FU110" s="26" t="s">
        <v>40</v>
      </c>
      <c r="FW110" s="26" t="s">
        <v>40</v>
      </c>
      <c r="FY110" s="26" t="s">
        <v>40</v>
      </c>
      <c r="GA110" s="26" t="s">
        <v>40</v>
      </c>
      <c r="GC110" s="26" t="s">
        <v>40</v>
      </c>
      <c r="GE110" s="26" t="s">
        <v>40</v>
      </c>
      <c r="GG110" s="26" t="s">
        <v>40</v>
      </c>
      <c r="GI110" s="26" t="s">
        <v>40</v>
      </c>
      <c r="GK110" s="26" t="s">
        <v>40</v>
      </c>
      <c r="GM110" s="26" t="s">
        <v>40</v>
      </c>
      <c r="GO110" s="26" t="s">
        <v>40</v>
      </c>
      <c r="GQ110" s="26" t="s">
        <v>40</v>
      </c>
      <c r="GS110" s="26" t="s">
        <v>40</v>
      </c>
      <c r="GU110" s="26" t="s">
        <v>40</v>
      </c>
      <c r="GW110" s="26" t="s">
        <v>40</v>
      </c>
      <c r="GY110" s="26" t="s">
        <v>40</v>
      </c>
      <c r="HA110" s="26" t="s">
        <v>40</v>
      </c>
      <c r="HC110" s="26" t="s">
        <v>40</v>
      </c>
    </row>
    <row r="111" spans="59:211" x14ac:dyDescent="0.2">
      <c r="BO111" s="10" t="s">
        <v>40</v>
      </c>
      <c r="BQ111" s="10" t="s">
        <v>40</v>
      </c>
      <c r="BS111" s="10" t="s">
        <v>40</v>
      </c>
      <c r="BU111" s="10" t="s">
        <v>40</v>
      </c>
      <c r="BW111" s="10" t="s">
        <v>40</v>
      </c>
      <c r="BY111" s="10" t="s">
        <v>40</v>
      </c>
      <c r="CA111" s="10" t="s">
        <v>40</v>
      </c>
      <c r="CC111" s="10" t="s">
        <v>40</v>
      </c>
      <c r="CE111" s="10" t="s">
        <v>40</v>
      </c>
      <c r="CG111" s="10" t="s">
        <v>40</v>
      </c>
      <c r="CI111" s="10" t="s">
        <v>40</v>
      </c>
      <c r="CK111" s="10" t="s">
        <v>40</v>
      </c>
      <c r="CM111" s="10" t="s">
        <v>40</v>
      </c>
      <c r="CO111" s="10" t="s">
        <v>40</v>
      </c>
      <c r="CQ111" s="10" t="s">
        <v>40</v>
      </c>
      <c r="CS111" s="10" t="s">
        <v>40</v>
      </c>
      <c r="CU111" s="10" t="s">
        <v>40</v>
      </c>
      <c r="CW111" s="10" t="s">
        <v>40</v>
      </c>
      <c r="CY111" s="10" t="s">
        <v>40</v>
      </c>
      <c r="DA111" s="10" t="s">
        <v>40</v>
      </c>
      <c r="DC111" s="10" t="s">
        <v>40</v>
      </c>
      <c r="DE111" s="10" t="s">
        <v>40</v>
      </c>
      <c r="DG111" s="10" t="s">
        <v>40</v>
      </c>
      <c r="DI111" s="10" t="s">
        <v>40</v>
      </c>
      <c r="DK111" s="10" t="s">
        <v>40</v>
      </c>
      <c r="DM111" s="10" t="s">
        <v>40</v>
      </c>
      <c r="DO111" s="10" t="s">
        <v>40</v>
      </c>
      <c r="DQ111" s="10" t="s">
        <v>40</v>
      </c>
      <c r="DS111" s="10" t="s">
        <v>40</v>
      </c>
      <c r="DU111" s="10" t="s">
        <v>40</v>
      </c>
      <c r="DW111" s="10" t="s">
        <v>40</v>
      </c>
      <c r="DY111" s="10" t="s">
        <v>40</v>
      </c>
      <c r="EA111" s="10" t="s">
        <v>40</v>
      </c>
      <c r="EC111" s="10" t="s">
        <v>40</v>
      </c>
      <c r="EE111" s="10" t="s">
        <v>40</v>
      </c>
      <c r="EG111" s="10" t="s">
        <v>40</v>
      </c>
      <c r="EI111" s="10" t="s">
        <v>40</v>
      </c>
      <c r="EK111" s="10" t="s">
        <v>40</v>
      </c>
      <c r="EM111" s="10" t="s">
        <v>40</v>
      </c>
      <c r="EO111" s="10" t="s">
        <v>40</v>
      </c>
      <c r="EQ111" s="10" t="s">
        <v>40</v>
      </c>
      <c r="ES111" s="10" t="s">
        <v>40</v>
      </c>
      <c r="EU111" s="10" t="s">
        <v>40</v>
      </c>
      <c r="EW111" s="10" t="s">
        <v>40</v>
      </c>
      <c r="EY111" s="10" t="s">
        <v>40</v>
      </c>
      <c r="FA111" s="10" t="s">
        <v>40</v>
      </c>
      <c r="FC111" s="10" t="s">
        <v>40</v>
      </c>
      <c r="FE111" s="10" t="s">
        <v>40</v>
      </c>
      <c r="FG111" s="10" t="s">
        <v>40</v>
      </c>
      <c r="FI111" s="10" t="s">
        <v>40</v>
      </c>
      <c r="FK111" s="10" t="s">
        <v>40</v>
      </c>
      <c r="FM111" s="10" t="s">
        <v>40</v>
      </c>
      <c r="FO111" s="10" t="s">
        <v>40</v>
      </c>
      <c r="FQ111" s="10" t="s">
        <v>40</v>
      </c>
      <c r="FS111" s="10" t="s">
        <v>40</v>
      </c>
      <c r="FU111" s="10" t="s">
        <v>40</v>
      </c>
      <c r="FW111" s="10" t="s">
        <v>40</v>
      </c>
      <c r="FY111" s="10" t="s">
        <v>40</v>
      </c>
      <c r="GA111" s="10" t="s">
        <v>40</v>
      </c>
      <c r="GC111" s="10" t="s">
        <v>40</v>
      </c>
      <c r="GE111" s="10" t="s">
        <v>40</v>
      </c>
      <c r="GG111" s="10" t="s">
        <v>40</v>
      </c>
      <c r="GI111" s="10" t="s">
        <v>40</v>
      </c>
      <c r="GK111" s="10" t="s">
        <v>40</v>
      </c>
      <c r="GM111" s="10" t="s">
        <v>40</v>
      </c>
      <c r="GO111" s="10" t="s">
        <v>40</v>
      </c>
      <c r="GQ111" s="10" t="s">
        <v>40</v>
      </c>
      <c r="GS111" s="10" t="s">
        <v>40</v>
      </c>
      <c r="GU111" s="10" t="s">
        <v>40</v>
      </c>
      <c r="GW111" s="10" t="s">
        <v>40</v>
      </c>
      <c r="GY111" s="10" t="s">
        <v>40</v>
      </c>
      <c r="HA111" s="10" t="s">
        <v>40</v>
      </c>
      <c r="HC111" s="10" t="s">
        <v>40</v>
      </c>
    </row>
    <row r="113" spans="69:211" x14ac:dyDescent="0.2">
      <c r="BQ113" s="26" t="s">
        <v>40</v>
      </c>
      <c r="BS113" s="26" t="s">
        <v>40</v>
      </c>
      <c r="BU113" s="26" t="s">
        <v>40</v>
      </c>
      <c r="BW113" s="26" t="s">
        <v>40</v>
      </c>
      <c r="BY113" s="26" t="s">
        <v>40</v>
      </c>
      <c r="CA113" s="26" t="s">
        <v>40</v>
      </c>
      <c r="CC113" s="26" t="s">
        <v>40</v>
      </c>
      <c r="CE113" s="26" t="s">
        <v>40</v>
      </c>
      <c r="CG113" s="26" t="s">
        <v>40</v>
      </c>
      <c r="CI113" s="26" t="s">
        <v>40</v>
      </c>
      <c r="CK113" s="26" t="s">
        <v>40</v>
      </c>
      <c r="CM113" s="26" t="s">
        <v>40</v>
      </c>
      <c r="CO113" s="26" t="s">
        <v>40</v>
      </c>
      <c r="CQ113" s="26" t="s">
        <v>40</v>
      </c>
      <c r="CS113" s="26" t="s">
        <v>40</v>
      </c>
      <c r="CU113" s="26" t="s">
        <v>40</v>
      </c>
      <c r="CW113" s="26" t="s">
        <v>40</v>
      </c>
      <c r="CY113" s="26" t="s">
        <v>40</v>
      </c>
      <c r="DA113" s="26" t="s">
        <v>40</v>
      </c>
      <c r="DC113" s="26" t="s">
        <v>40</v>
      </c>
      <c r="DE113" s="26" t="s">
        <v>40</v>
      </c>
      <c r="DG113" s="26" t="s">
        <v>40</v>
      </c>
      <c r="DI113" s="26" t="s">
        <v>40</v>
      </c>
      <c r="DK113" s="26" t="s">
        <v>40</v>
      </c>
      <c r="DM113" s="26" t="s">
        <v>40</v>
      </c>
      <c r="DO113" s="26" t="s">
        <v>40</v>
      </c>
      <c r="DQ113" s="26" t="s">
        <v>40</v>
      </c>
      <c r="DS113" s="26" t="s">
        <v>40</v>
      </c>
      <c r="DU113" s="26" t="s">
        <v>40</v>
      </c>
      <c r="DW113" s="26" t="s">
        <v>40</v>
      </c>
      <c r="DY113" s="26" t="s">
        <v>40</v>
      </c>
      <c r="EA113" s="26" t="s">
        <v>40</v>
      </c>
      <c r="EC113" s="26" t="s">
        <v>40</v>
      </c>
      <c r="EE113" s="26" t="s">
        <v>40</v>
      </c>
      <c r="EG113" s="26" t="s">
        <v>40</v>
      </c>
      <c r="EI113" s="26" t="s">
        <v>40</v>
      </c>
      <c r="EK113" s="26" t="s">
        <v>40</v>
      </c>
      <c r="EM113" s="26" t="s">
        <v>40</v>
      </c>
      <c r="EO113" s="26" t="s">
        <v>40</v>
      </c>
      <c r="EQ113" s="26" t="s">
        <v>40</v>
      </c>
      <c r="ES113" s="26" t="s">
        <v>40</v>
      </c>
      <c r="EU113" s="26" t="s">
        <v>40</v>
      </c>
      <c r="EW113" s="26" t="s">
        <v>40</v>
      </c>
      <c r="EY113" s="26" t="s">
        <v>40</v>
      </c>
      <c r="FA113" s="26" t="s">
        <v>40</v>
      </c>
      <c r="FC113" s="26" t="s">
        <v>40</v>
      </c>
      <c r="FE113" s="26" t="s">
        <v>40</v>
      </c>
      <c r="FG113" s="26" t="s">
        <v>40</v>
      </c>
      <c r="FI113" s="26" t="s">
        <v>40</v>
      </c>
      <c r="FK113" s="26" t="s">
        <v>40</v>
      </c>
      <c r="FM113" s="26" t="s">
        <v>40</v>
      </c>
      <c r="FO113" s="26" t="s">
        <v>40</v>
      </c>
      <c r="FQ113" s="26" t="s">
        <v>40</v>
      </c>
      <c r="FS113" s="26" t="s">
        <v>40</v>
      </c>
      <c r="FU113" s="26" t="s">
        <v>40</v>
      </c>
      <c r="FW113" s="26" t="s">
        <v>40</v>
      </c>
      <c r="FY113" s="26" t="s">
        <v>40</v>
      </c>
      <c r="GA113" s="26" t="s">
        <v>40</v>
      </c>
      <c r="GC113" s="26" t="s">
        <v>40</v>
      </c>
      <c r="GE113" s="26" t="s">
        <v>40</v>
      </c>
      <c r="GG113" s="26" t="s">
        <v>40</v>
      </c>
      <c r="GI113" s="26" t="s">
        <v>40</v>
      </c>
      <c r="GK113" s="26" t="s">
        <v>40</v>
      </c>
      <c r="GM113" s="26" t="s">
        <v>40</v>
      </c>
      <c r="GO113" s="26" t="s">
        <v>40</v>
      </c>
      <c r="GQ113" s="26" t="s">
        <v>40</v>
      </c>
      <c r="GS113" s="26" t="s">
        <v>40</v>
      </c>
      <c r="GU113" s="26" t="s">
        <v>40</v>
      </c>
      <c r="GW113" s="26" t="s">
        <v>40</v>
      </c>
      <c r="GY113" s="26" t="s">
        <v>40</v>
      </c>
      <c r="HA113" s="26" t="s">
        <v>40</v>
      </c>
      <c r="HC113" s="26" t="s">
        <v>40</v>
      </c>
    </row>
    <row r="114" spans="69:211" x14ac:dyDescent="0.2">
      <c r="BQ114" s="10" t="s">
        <v>40</v>
      </c>
      <c r="BS114" s="10" t="s">
        <v>40</v>
      </c>
      <c r="BU114" s="10" t="s">
        <v>40</v>
      </c>
      <c r="BW114" s="10" t="s">
        <v>40</v>
      </c>
      <c r="BY114" s="10" t="s">
        <v>40</v>
      </c>
      <c r="CA114" s="10" t="s">
        <v>40</v>
      </c>
      <c r="CC114" s="10" t="s">
        <v>40</v>
      </c>
      <c r="CE114" s="10" t="s">
        <v>40</v>
      </c>
      <c r="CG114" s="10" t="s">
        <v>40</v>
      </c>
      <c r="CI114" s="10" t="s">
        <v>40</v>
      </c>
      <c r="CK114" s="10" t="s">
        <v>40</v>
      </c>
      <c r="CM114" s="10" t="s">
        <v>40</v>
      </c>
      <c r="CO114" s="10" t="s">
        <v>40</v>
      </c>
      <c r="CQ114" s="10" t="s">
        <v>40</v>
      </c>
      <c r="CS114" s="10" t="s">
        <v>40</v>
      </c>
      <c r="CU114" s="10" t="s">
        <v>40</v>
      </c>
      <c r="CW114" s="10" t="s">
        <v>40</v>
      </c>
      <c r="CY114" s="10" t="s">
        <v>40</v>
      </c>
      <c r="DA114" s="10" t="s">
        <v>40</v>
      </c>
      <c r="DC114" s="10" t="s">
        <v>40</v>
      </c>
      <c r="DE114" s="10" t="s">
        <v>40</v>
      </c>
      <c r="DG114" s="10" t="s">
        <v>40</v>
      </c>
      <c r="DI114" s="10" t="s">
        <v>40</v>
      </c>
      <c r="DK114" s="10" t="s">
        <v>40</v>
      </c>
      <c r="DM114" s="10" t="s">
        <v>40</v>
      </c>
      <c r="DO114" s="10" t="s">
        <v>40</v>
      </c>
      <c r="DQ114" s="10" t="s">
        <v>40</v>
      </c>
      <c r="DS114" s="10" t="s">
        <v>40</v>
      </c>
      <c r="DU114" s="10" t="s">
        <v>40</v>
      </c>
      <c r="DW114" s="10" t="s">
        <v>40</v>
      </c>
      <c r="DY114" s="10" t="s">
        <v>40</v>
      </c>
      <c r="EA114" s="10" t="s">
        <v>40</v>
      </c>
      <c r="EC114" s="10" t="s">
        <v>40</v>
      </c>
      <c r="EE114" s="10" t="s">
        <v>40</v>
      </c>
      <c r="EG114" s="10" t="s">
        <v>40</v>
      </c>
      <c r="EI114" s="10" t="s">
        <v>40</v>
      </c>
      <c r="EK114" s="10" t="s">
        <v>40</v>
      </c>
      <c r="EM114" s="10" t="s">
        <v>40</v>
      </c>
      <c r="EO114" s="10" t="s">
        <v>40</v>
      </c>
      <c r="EQ114" s="10" t="s">
        <v>40</v>
      </c>
      <c r="ES114" s="10" t="s">
        <v>40</v>
      </c>
      <c r="EU114" s="10" t="s">
        <v>40</v>
      </c>
      <c r="EW114" s="10" t="s">
        <v>40</v>
      </c>
      <c r="EY114" s="10" t="s">
        <v>40</v>
      </c>
      <c r="FA114" s="10" t="s">
        <v>40</v>
      </c>
      <c r="FC114" s="10" t="s">
        <v>40</v>
      </c>
      <c r="FE114" s="10" t="s">
        <v>40</v>
      </c>
      <c r="FG114" s="10" t="s">
        <v>40</v>
      </c>
      <c r="FI114" s="10" t="s">
        <v>40</v>
      </c>
      <c r="FK114" s="10" t="s">
        <v>40</v>
      </c>
      <c r="FM114" s="10" t="s">
        <v>40</v>
      </c>
      <c r="FO114" s="10" t="s">
        <v>40</v>
      </c>
      <c r="FQ114" s="10" t="s">
        <v>40</v>
      </c>
      <c r="FS114" s="10" t="s">
        <v>40</v>
      </c>
      <c r="FU114" s="10" t="s">
        <v>40</v>
      </c>
      <c r="FW114" s="10" t="s">
        <v>40</v>
      </c>
      <c r="FY114" s="10" t="s">
        <v>40</v>
      </c>
      <c r="GA114" s="10" t="s">
        <v>40</v>
      </c>
      <c r="GC114" s="10" t="s">
        <v>40</v>
      </c>
      <c r="GE114" s="10" t="s">
        <v>40</v>
      </c>
      <c r="GG114" s="10" t="s">
        <v>40</v>
      </c>
      <c r="GI114" s="10" t="s">
        <v>40</v>
      </c>
      <c r="GK114" s="10" t="s">
        <v>40</v>
      </c>
      <c r="GM114" s="10" t="s">
        <v>40</v>
      </c>
      <c r="GO114" s="10" t="s">
        <v>40</v>
      </c>
      <c r="GQ114" s="10" t="s">
        <v>40</v>
      </c>
      <c r="GS114" s="10" t="s">
        <v>40</v>
      </c>
      <c r="GU114" s="10" t="s">
        <v>40</v>
      </c>
      <c r="GW114" s="10" t="s">
        <v>40</v>
      </c>
      <c r="GY114" s="10" t="s">
        <v>40</v>
      </c>
      <c r="HA114" s="10" t="s">
        <v>40</v>
      </c>
      <c r="HC114" s="10" t="s">
        <v>40</v>
      </c>
    </row>
    <row r="116" spans="69:211" x14ac:dyDescent="0.2">
      <c r="BS116" s="26" t="s">
        <v>40</v>
      </c>
      <c r="BU116" s="26" t="s">
        <v>40</v>
      </c>
      <c r="BW116" s="26" t="s">
        <v>40</v>
      </c>
      <c r="BY116" s="26" t="s">
        <v>40</v>
      </c>
      <c r="CA116" s="26" t="s">
        <v>40</v>
      </c>
      <c r="CC116" s="26" t="s">
        <v>40</v>
      </c>
      <c r="CE116" s="26" t="s">
        <v>40</v>
      </c>
      <c r="CG116" s="26" t="s">
        <v>40</v>
      </c>
      <c r="CI116" s="26" t="s">
        <v>40</v>
      </c>
      <c r="CK116" s="26" t="s">
        <v>40</v>
      </c>
      <c r="CM116" s="26" t="s">
        <v>40</v>
      </c>
      <c r="CO116" s="26" t="s">
        <v>40</v>
      </c>
      <c r="CQ116" s="26" t="s">
        <v>40</v>
      </c>
      <c r="CS116" s="26" t="s">
        <v>40</v>
      </c>
      <c r="CU116" s="26" t="s">
        <v>40</v>
      </c>
      <c r="CW116" s="26" t="s">
        <v>40</v>
      </c>
      <c r="CY116" s="26" t="s">
        <v>40</v>
      </c>
      <c r="DA116" s="26" t="s">
        <v>40</v>
      </c>
      <c r="DC116" s="26" t="s">
        <v>40</v>
      </c>
      <c r="DE116" s="26" t="s">
        <v>40</v>
      </c>
      <c r="DG116" s="26" t="s">
        <v>40</v>
      </c>
      <c r="DI116" s="26" t="s">
        <v>40</v>
      </c>
      <c r="DK116" s="26" t="s">
        <v>40</v>
      </c>
      <c r="DM116" s="26" t="s">
        <v>40</v>
      </c>
      <c r="DO116" s="26" t="s">
        <v>40</v>
      </c>
      <c r="DQ116" s="26" t="s">
        <v>40</v>
      </c>
      <c r="DS116" s="26" t="s">
        <v>40</v>
      </c>
      <c r="DU116" s="26" t="s">
        <v>40</v>
      </c>
      <c r="DW116" s="26" t="s">
        <v>40</v>
      </c>
      <c r="DY116" s="26" t="s">
        <v>40</v>
      </c>
      <c r="EA116" s="26" t="s">
        <v>40</v>
      </c>
      <c r="EC116" s="26" t="s">
        <v>40</v>
      </c>
      <c r="EE116" s="26" t="s">
        <v>40</v>
      </c>
      <c r="EG116" s="26" t="s">
        <v>40</v>
      </c>
      <c r="EI116" s="26" t="s">
        <v>40</v>
      </c>
      <c r="EK116" s="26" t="s">
        <v>40</v>
      </c>
      <c r="EM116" s="26" t="s">
        <v>40</v>
      </c>
      <c r="EO116" s="26" t="s">
        <v>40</v>
      </c>
      <c r="EQ116" s="26" t="s">
        <v>40</v>
      </c>
      <c r="ES116" s="26" t="s">
        <v>40</v>
      </c>
      <c r="EU116" s="26" t="s">
        <v>40</v>
      </c>
      <c r="EW116" s="26" t="s">
        <v>40</v>
      </c>
      <c r="EY116" s="26" t="s">
        <v>40</v>
      </c>
      <c r="FA116" s="26" t="s">
        <v>40</v>
      </c>
      <c r="FC116" s="26" t="s">
        <v>40</v>
      </c>
      <c r="FE116" s="26" t="s">
        <v>40</v>
      </c>
      <c r="FG116" s="26" t="s">
        <v>40</v>
      </c>
      <c r="FI116" s="26" t="s">
        <v>40</v>
      </c>
      <c r="FK116" s="26" t="s">
        <v>40</v>
      </c>
      <c r="FM116" s="26" t="s">
        <v>40</v>
      </c>
      <c r="FO116" s="26" t="s">
        <v>40</v>
      </c>
      <c r="FQ116" s="26" t="s">
        <v>40</v>
      </c>
      <c r="FS116" s="26" t="s">
        <v>40</v>
      </c>
      <c r="FU116" s="26" t="s">
        <v>40</v>
      </c>
      <c r="FW116" s="26" t="s">
        <v>40</v>
      </c>
      <c r="FY116" s="26" t="s">
        <v>40</v>
      </c>
      <c r="GA116" s="26" t="s">
        <v>40</v>
      </c>
      <c r="GC116" s="26" t="s">
        <v>40</v>
      </c>
      <c r="GE116" s="26" t="s">
        <v>40</v>
      </c>
      <c r="GG116" s="26" t="s">
        <v>40</v>
      </c>
      <c r="GI116" s="26" t="s">
        <v>40</v>
      </c>
      <c r="GK116" s="26" t="s">
        <v>40</v>
      </c>
      <c r="GM116" s="26" t="s">
        <v>40</v>
      </c>
      <c r="GO116" s="26" t="s">
        <v>40</v>
      </c>
      <c r="GQ116" s="26" t="s">
        <v>40</v>
      </c>
      <c r="GS116" s="26" t="s">
        <v>40</v>
      </c>
      <c r="GU116" s="26" t="s">
        <v>40</v>
      </c>
      <c r="GW116" s="26" t="s">
        <v>40</v>
      </c>
      <c r="GY116" s="26" t="s">
        <v>40</v>
      </c>
      <c r="HA116" s="26" t="s">
        <v>40</v>
      </c>
      <c r="HC116" s="26" t="s">
        <v>40</v>
      </c>
    </row>
    <row r="117" spans="69:211" x14ac:dyDescent="0.2">
      <c r="BS117" s="10" t="s">
        <v>40</v>
      </c>
      <c r="BU117" s="10" t="s">
        <v>40</v>
      </c>
      <c r="BW117" s="10" t="s">
        <v>40</v>
      </c>
      <c r="BY117" s="10" t="s">
        <v>40</v>
      </c>
      <c r="CA117" s="10" t="s">
        <v>40</v>
      </c>
      <c r="CC117" s="10" t="s">
        <v>40</v>
      </c>
      <c r="CE117" s="10" t="s">
        <v>40</v>
      </c>
      <c r="CG117" s="10" t="s">
        <v>40</v>
      </c>
      <c r="CI117" s="10" t="s">
        <v>40</v>
      </c>
      <c r="CK117" s="10" t="s">
        <v>40</v>
      </c>
      <c r="CM117" s="10" t="s">
        <v>40</v>
      </c>
      <c r="CO117" s="10" t="s">
        <v>40</v>
      </c>
      <c r="CQ117" s="10" t="s">
        <v>40</v>
      </c>
      <c r="CS117" s="10" t="s">
        <v>40</v>
      </c>
      <c r="CU117" s="10" t="s">
        <v>40</v>
      </c>
      <c r="CW117" s="10" t="s">
        <v>40</v>
      </c>
      <c r="CY117" s="10" t="s">
        <v>40</v>
      </c>
      <c r="DA117" s="10" t="s">
        <v>40</v>
      </c>
      <c r="DC117" s="10" t="s">
        <v>40</v>
      </c>
      <c r="DE117" s="10" t="s">
        <v>40</v>
      </c>
      <c r="DG117" s="10" t="s">
        <v>40</v>
      </c>
      <c r="DI117" s="10" t="s">
        <v>40</v>
      </c>
      <c r="DK117" s="10" t="s">
        <v>40</v>
      </c>
      <c r="DM117" s="10" t="s">
        <v>40</v>
      </c>
      <c r="DO117" s="10" t="s">
        <v>40</v>
      </c>
      <c r="DQ117" s="10" t="s">
        <v>40</v>
      </c>
      <c r="DS117" s="10" t="s">
        <v>40</v>
      </c>
      <c r="DU117" s="10" t="s">
        <v>40</v>
      </c>
      <c r="DW117" s="10" t="s">
        <v>40</v>
      </c>
      <c r="DY117" s="10" t="s">
        <v>40</v>
      </c>
      <c r="EA117" s="10" t="s">
        <v>40</v>
      </c>
      <c r="EC117" s="10" t="s">
        <v>40</v>
      </c>
      <c r="EE117" s="10" t="s">
        <v>40</v>
      </c>
      <c r="EG117" s="10" t="s">
        <v>40</v>
      </c>
      <c r="EI117" s="10" t="s">
        <v>40</v>
      </c>
      <c r="EK117" s="10" t="s">
        <v>40</v>
      </c>
      <c r="EM117" s="10" t="s">
        <v>40</v>
      </c>
      <c r="EO117" s="10" t="s">
        <v>40</v>
      </c>
      <c r="EQ117" s="10" t="s">
        <v>40</v>
      </c>
      <c r="ES117" s="10" t="s">
        <v>40</v>
      </c>
      <c r="EU117" s="10" t="s">
        <v>40</v>
      </c>
      <c r="EW117" s="10" t="s">
        <v>40</v>
      </c>
      <c r="EY117" s="10" t="s">
        <v>40</v>
      </c>
      <c r="FA117" s="10" t="s">
        <v>40</v>
      </c>
      <c r="FC117" s="10" t="s">
        <v>40</v>
      </c>
      <c r="FE117" s="10" t="s">
        <v>40</v>
      </c>
      <c r="FG117" s="10" t="s">
        <v>40</v>
      </c>
      <c r="FI117" s="10" t="s">
        <v>40</v>
      </c>
      <c r="FK117" s="10" t="s">
        <v>40</v>
      </c>
      <c r="FM117" s="10" t="s">
        <v>40</v>
      </c>
      <c r="FO117" s="10" t="s">
        <v>40</v>
      </c>
      <c r="FQ117" s="10" t="s">
        <v>40</v>
      </c>
      <c r="FS117" s="10" t="s">
        <v>40</v>
      </c>
      <c r="FU117" s="10" t="s">
        <v>40</v>
      </c>
      <c r="FW117" s="10" t="s">
        <v>40</v>
      </c>
      <c r="FY117" s="10" t="s">
        <v>40</v>
      </c>
      <c r="GA117" s="10" t="s">
        <v>40</v>
      </c>
      <c r="GC117" s="10" t="s">
        <v>40</v>
      </c>
      <c r="GE117" s="10" t="s">
        <v>40</v>
      </c>
      <c r="GG117" s="10" t="s">
        <v>40</v>
      </c>
      <c r="GI117" s="10" t="s">
        <v>40</v>
      </c>
      <c r="GK117" s="10" t="s">
        <v>40</v>
      </c>
      <c r="GM117" s="10" t="s">
        <v>40</v>
      </c>
      <c r="GO117" s="10" t="s">
        <v>40</v>
      </c>
      <c r="GQ117" s="10" t="s">
        <v>40</v>
      </c>
      <c r="GS117" s="10" t="s">
        <v>40</v>
      </c>
      <c r="GU117" s="10" t="s">
        <v>40</v>
      </c>
      <c r="GW117" s="10" t="s">
        <v>40</v>
      </c>
      <c r="GY117" s="10" t="s">
        <v>40</v>
      </c>
      <c r="HA117" s="10" t="s">
        <v>40</v>
      </c>
      <c r="HC117" s="10" t="s">
        <v>40</v>
      </c>
    </row>
    <row r="119" spans="69:211" x14ac:dyDescent="0.2">
      <c r="BU119" s="26" t="s">
        <v>40</v>
      </c>
      <c r="BW119" s="26" t="s">
        <v>40</v>
      </c>
      <c r="BY119" s="26" t="s">
        <v>40</v>
      </c>
      <c r="CA119" s="26" t="s">
        <v>40</v>
      </c>
      <c r="CC119" s="26" t="s">
        <v>40</v>
      </c>
      <c r="CE119" s="26" t="s">
        <v>40</v>
      </c>
      <c r="CG119" s="26" t="s">
        <v>40</v>
      </c>
      <c r="CI119" s="26" t="s">
        <v>40</v>
      </c>
      <c r="CK119" s="26" t="s">
        <v>40</v>
      </c>
      <c r="CM119" s="26" t="s">
        <v>40</v>
      </c>
      <c r="CO119" s="26" t="s">
        <v>40</v>
      </c>
      <c r="CQ119" s="26" t="s">
        <v>40</v>
      </c>
      <c r="CS119" s="26" t="s">
        <v>40</v>
      </c>
      <c r="CU119" s="26" t="s">
        <v>40</v>
      </c>
      <c r="CW119" s="26" t="s">
        <v>40</v>
      </c>
      <c r="CY119" s="26" t="s">
        <v>40</v>
      </c>
      <c r="DA119" s="26" t="s">
        <v>40</v>
      </c>
      <c r="DC119" s="26" t="s">
        <v>40</v>
      </c>
      <c r="DE119" s="26" t="s">
        <v>40</v>
      </c>
      <c r="DG119" s="26" t="s">
        <v>40</v>
      </c>
      <c r="DI119" s="26" t="s">
        <v>40</v>
      </c>
      <c r="DK119" s="26" t="s">
        <v>40</v>
      </c>
      <c r="DM119" s="26" t="s">
        <v>40</v>
      </c>
      <c r="DO119" s="26" t="s">
        <v>40</v>
      </c>
      <c r="DQ119" s="26" t="s">
        <v>40</v>
      </c>
      <c r="DS119" s="26" t="s">
        <v>40</v>
      </c>
      <c r="DU119" s="26" t="s">
        <v>40</v>
      </c>
      <c r="DW119" s="26" t="s">
        <v>40</v>
      </c>
      <c r="DY119" s="26" t="s">
        <v>40</v>
      </c>
      <c r="EA119" s="26" t="s">
        <v>40</v>
      </c>
      <c r="EC119" s="26" t="s">
        <v>40</v>
      </c>
      <c r="EE119" s="26" t="s">
        <v>40</v>
      </c>
      <c r="EG119" s="26" t="s">
        <v>40</v>
      </c>
      <c r="EI119" s="26" t="s">
        <v>40</v>
      </c>
      <c r="EK119" s="26" t="s">
        <v>40</v>
      </c>
      <c r="EM119" s="26" t="s">
        <v>40</v>
      </c>
      <c r="EO119" s="26" t="s">
        <v>40</v>
      </c>
      <c r="EQ119" s="26" t="s">
        <v>40</v>
      </c>
      <c r="ES119" s="26" t="s">
        <v>40</v>
      </c>
      <c r="EU119" s="26" t="s">
        <v>40</v>
      </c>
      <c r="EW119" s="26" t="s">
        <v>40</v>
      </c>
      <c r="EY119" s="26" t="s">
        <v>40</v>
      </c>
      <c r="FA119" s="26" t="s">
        <v>40</v>
      </c>
      <c r="FC119" s="26" t="s">
        <v>40</v>
      </c>
      <c r="FE119" s="26" t="s">
        <v>40</v>
      </c>
      <c r="FG119" s="26" t="s">
        <v>40</v>
      </c>
      <c r="FI119" s="26" t="s">
        <v>40</v>
      </c>
      <c r="FK119" s="26" t="s">
        <v>40</v>
      </c>
      <c r="FM119" s="26" t="s">
        <v>40</v>
      </c>
      <c r="FO119" s="26" t="s">
        <v>40</v>
      </c>
      <c r="FQ119" s="26" t="s">
        <v>40</v>
      </c>
      <c r="FS119" s="26" t="s">
        <v>40</v>
      </c>
      <c r="FU119" s="26" t="s">
        <v>40</v>
      </c>
      <c r="FW119" s="26" t="s">
        <v>40</v>
      </c>
      <c r="FY119" s="26" t="s">
        <v>40</v>
      </c>
      <c r="GA119" s="26" t="s">
        <v>40</v>
      </c>
      <c r="GC119" s="26" t="s">
        <v>40</v>
      </c>
      <c r="GE119" s="26" t="s">
        <v>40</v>
      </c>
      <c r="GG119" s="26" t="s">
        <v>40</v>
      </c>
      <c r="GI119" s="26" t="s">
        <v>40</v>
      </c>
      <c r="GK119" s="26" t="s">
        <v>40</v>
      </c>
      <c r="GM119" s="26" t="s">
        <v>40</v>
      </c>
      <c r="GO119" s="26" t="s">
        <v>40</v>
      </c>
      <c r="GQ119" s="26" t="s">
        <v>40</v>
      </c>
      <c r="GS119" s="26" t="s">
        <v>40</v>
      </c>
      <c r="GU119" s="26" t="s">
        <v>40</v>
      </c>
      <c r="GW119" s="26" t="s">
        <v>40</v>
      </c>
      <c r="GY119" s="26" t="s">
        <v>40</v>
      </c>
      <c r="HA119" s="26" t="s">
        <v>40</v>
      </c>
      <c r="HC119" s="26" t="s">
        <v>40</v>
      </c>
    </row>
    <row r="120" spans="69:211" x14ac:dyDescent="0.2">
      <c r="BU120" s="10" t="s">
        <v>40</v>
      </c>
      <c r="BW120" s="10" t="s">
        <v>40</v>
      </c>
      <c r="BY120" s="10" t="s">
        <v>40</v>
      </c>
      <c r="CA120" s="10" t="s">
        <v>40</v>
      </c>
      <c r="CC120" s="10" t="s">
        <v>40</v>
      </c>
      <c r="CE120" s="10" t="s">
        <v>40</v>
      </c>
      <c r="CG120" s="10" t="s">
        <v>40</v>
      </c>
      <c r="CI120" s="10" t="s">
        <v>40</v>
      </c>
      <c r="CK120" s="10" t="s">
        <v>40</v>
      </c>
      <c r="CM120" s="10" t="s">
        <v>40</v>
      </c>
      <c r="CO120" s="10" t="s">
        <v>40</v>
      </c>
      <c r="CQ120" s="10" t="s">
        <v>40</v>
      </c>
      <c r="CS120" s="10" t="s">
        <v>40</v>
      </c>
      <c r="CU120" s="10" t="s">
        <v>40</v>
      </c>
      <c r="CW120" s="10" t="s">
        <v>40</v>
      </c>
      <c r="CY120" s="10" t="s">
        <v>40</v>
      </c>
      <c r="DA120" s="10" t="s">
        <v>40</v>
      </c>
      <c r="DC120" s="10" t="s">
        <v>40</v>
      </c>
      <c r="DE120" s="10" t="s">
        <v>40</v>
      </c>
      <c r="DG120" s="10" t="s">
        <v>40</v>
      </c>
      <c r="DI120" s="10" t="s">
        <v>40</v>
      </c>
      <c r="DK120" s="10" t="s">
        <v>40</v>
      </c>
      <c r="DM120" s="10" t="s">
        <v>40</v>
      </c>
      <c r="DO120" s="10" t="s">
        <v>40</v>
      </c>
      <c r="DQ120" s="10" t="s">
        <v>40</v>
      </c>
      <c r="DS120" s="10" t="s">
        <v>40</v>
      </c>
      <c r="DU120" s="10" t="s">
        <v>40</v>
      </c>
      <c r="DW120" s="10" t="s">
        <v>40</v>
      </c>
      <c r="DY120" s="10" t="s">
        <v>40</v>
      </c>
      <c r="EA120" s="10" t="s">
        <v>40</v>
      </c>
      <c r="EC120" s="10" t="s">
        <v>40</v>
      </c>
      <c r="EE120" s="10" t="s">
        <v>40</v>
      </c>
      <c r="EG120" s="10" t="s">
        <v>40</v>
      </c>
      <c r="EI120" s="10" t="s">
        <v>40</v>
      </c>
      <c r="EK120" s="10" t="s">
        <v>40</v>
      </c>
      <c r="EM120" s="10" t="s">
        <v>40</v>
      </c>
      <c r="EO120" s="10" t="s">
        <v>40</v>
      </c>
      <c r="EQ120" s="10" t="s">
        <v>40</v>
      </c>
      <c r="ES120" s="10" t="s">
        <v>40</v>
      </c>
      <c r="EU120" s="10" t="s">
        <v>40</v>
      </c>
      <c r="EW120" s="10" t="s">
        <v>40</v>
      </c>
      <c r="EY120" s="10" t="s">
        <v>40</v>
      </c>
      <c r="FA120" s="10" t="s">
        <v>40</v>
      </c>
      <c r="FC120" s="10" t="s">
        <v>40</v>
      </c>
      <c r="FE120" s="10" t="s">
        <v>40</v>
      </c>
      <c r="FG120" s="10" t="s">
        <v>40</v>
      </c>
      <c r="FI120" s="10" t="s">
        <v>40</v>
      </c>
      <c r="FK120" s="10" t="s">
        <v>40</v>
      </c>
      <c r="FM120" s="10" t="s">
        <v>40</v>
      </c>
      <c r="FO120" s="10" t="s">
        <v>40</v>
      </c>
      <c r="FQ120" s="10" t="s">
        <v>40</v>
      </c>
      <c r="FS120" s="10" t="s">
        <v>40</v>
      </c>
      <c r="FU120" s="10" t="s">
        <v>40</v>
      </c>
      <c r="FW120" s="10" t="s">
        <v>40</v>
      </c>
      <c r="FY120" s="10" t="s">
        <v>40</v>
      </c>
      <c r="GA120" s="10" t="s">
        <v>40</v>
      </c>
      <c r="GC120" s="10" t="s">
        <v>40</v>
      </c>
      <c r="GE120" s="10" t="s">
        <v>40</v>
      </c>
      <c r="GG120" s="10" t="s">
        <v>40</v>
      </c>
      <c r="GI120" s="10" t="s">
        <v>40</v>
      </c>
      <c r="GK120" s="10" t="s">
        <v>40</v>
      </c>
      <c r="GM120" s="10" t="s">
        <v>40</v>
      </c>
      <c r="GO120" s="10" t="s">
        <v>40</v>
      </c>
      <c r="GQ120" s="10" t="s">
        <v>40</v>
      </c>
      <c r="GS120" s="10" t="s">
        <v>40</v>
      </c>
      <c r="GU120" s="10" t="s">
        <v>40</v>
      </c>
      <c r="GW120" s="10" t="s">
        <v>40</v>
      </c>
      <c r="GY120" s="10" t="s">
        <v>40</v>
      </c>
      <c r="HA120" s="10" t="s">
        <v>40</v>
      </c>
      <c r="HC120" s="10" t="s">
        <v>40</v>
      </c>
    </row>
    <row r="122" spans="69:211" x14ac:dyDescent="0.2">
      <c r="BW122" s="26" t="s">
        <v>40</v>
      </c>
      <c r="BY122" s="26" t="s">
        <v>40</v>
      </c>
      <c r="CA122" s="26" t="s">
        <v>40</v>
      </c>
      <c r="CC122" s="26" t="s">
        <v>40</v>
      </c>
      <c r="CE122" s="26" t="s">
        <v>40</v>
      </c>
      <c r="CG122" s="26" t="s">
        <v>40</v>
      </c>
      <c r="CI122" s="26" t="s">
        <v>40</v>
      </c>
      <c r="CK122" s="26" t="s">
        <v>40</v>
      </c>
      <c r="CM122" s="26" t="s">
        <v>40</v>
      </c>
      <c r="CO122" s="26" t="s">
        <v>40</v>
      </c>
      <c r="CQ122" s="26" t="s">
        <v>40</v>
      </c>
      <c r="CS122" s="26" t="s">
        <v>40</v>
      </c>
      <c r="CU122" s="26" t="s">
        <v>40</v>
      </c>
      <c r="CW122" s="26" t="s">
        <v>40</v>
      </c>
      <c r="CY122" s="26" t="s">
        <v>40</v>
      </c>
      <c r="DA122" s="26" t="s">
        <v>40</v>
      </c>
      <c r="DC122" s="26" t="s">
        <v>40</v>
      </c>
      <c r="DE122" s="26" t="s">
        <v>40</v>
      </c>
      <c r="DG122" s="26" t="s">
        <v>40</v>
      </c>
      <c r="DI122" s="26" t="s">
        <v>40</v>
      </c>
      <c r="DK122" s="26" t="s">
        <v>40</v>
      </c>
      <c r="DM122" s="26" t="s">
        <v>40</v>
      </c>
      <c r="DO122" s="26" t="s">
        <v>40</v>
      </c>
      <c r="DQ122" s="26" t="s">
        <v>40</v>
      </c>
      <c r="DS122" s="26" t="s">
        <v>40</v>
      </c>
      <c r="DU122" s="26" t="s">
        <v>40</v>
      </c>
      <c r="DW122" s="26" t="s">
        <v>40</v>
      </c>
      <c r="DY122" s="26" t="s">
        <v>40</v>
      </c>
      <c r="EA122" s="26" t="s">
        <v>40</v>
      </c>
      <c r="EC122" s="26" t="s">
        <v>40</v>
      </c>
      <c r="EE122" s="26" t="s">
        <v>40</v>
      </c>
      <c r="EG122" s="26" t="s">
        <v>40</v>
      </c>
      <c r="EI122" s="26" t="s">
        <v>40</v>
      </c>
      <c r="EK122" s="26" t="s">
        <v>40</v>
      </c>
      <c r="EM122" s="26" t="s">
        <v>40</v>
      </c>
      <c r="EO122" s="26" t="s">
        <v>40</v>
      </c>
      <c r="EQ122" s="26" t="s">
        <v>40</v>
      </c>
      <c r="ES122" s="26" t="s">
        <v>40</v>
      </c>
      <c r="EU122" s="26" t="s">
        <v>40</v>
      </c>
      <c r="EW122" s="26" t="s">
        <v>40</v>
      </c>
      <c r="EY122" s="26" t="s">
        <v>40</v>
      </c>
      <c r="FA122" s="26" t="s">
        <v>40</v>
      </c>
      <c r="FC122" s="26" t="s">
        <v>40</v>
      </c>
      <c r="FE122" s="26" t="s">
        <v>40</v>
      </c>
      <c r="FG122" s="26" t="s">
        <v>40</v>
      </c>
      <c r="FI122" s="26" t="s">
        <v>40</v>
      </c>
      <c r="FK122" s="26" t="s">
        <v>40</v>
      </c>
      <c r="FM122" s="26" t="s">
        <v>40</v>
      </c>
      <c r="FO122" s="26" t="s">
        <v>40</v>
      </c>
      <c r="FQ122" s="26" t="s">
        <v>40</v>
      </c>
      <c r="FS122" s="26" t="s">
        <v>40</v>
      </c>
      <c r="FU122" s="26" t="s">
        <v>40</v>
      </c>
      <c r="FW122" s="26" t="s">
        <v>40</v>
      </c>
      <c r="FY122" s="26" t="s">
        <v>40</v>
      </c>
      <c r="GA122" s="26" t="s">
        <v>40</v>
      </c>
      <c r="GC122" s="26" t="s">
        <v>40</v>
      </c>
      <c r="GE122" s="26" t="s">
        <v>40</v>
      </c>
      <c r="GG122" s="26" t="s">
        <v>40</v>
      </c>
      <c r="GI122" s="26" t="s">
        <v>40</v>
      </c>
      <c r="GK122" s="26" t="s">
        <v>40</v>
      </c>
      <c r="GM122" s="26" t="s">
        <v>40</v>
      </c>
      <c r="GO122" s="26" t="s">
        <v>40</v>
      </c>
      <c r="GQ122" s="26" t="s">
        <v>40</v>
      </c>
      <c r="GS122" s="26" t="s">
        <v>40</v>
      </c>
      <c r="GU122" s="26" t="s">
        <v>40</v>
      </c>
      <c r="GW122" s="26" t="s">
        <v>40</v>
      </c>
      <c r="GY122" s="26" t="s">
        <v>40</v>
      </c>
      <c r="HA122" s="26" t="s">
        <v>40</v>
      </c>
      <c r="HC122" s="26" t="s">
        <v>40</v>
      </c>
    </row>
    <row r="123" spans="69:211" x14ac:dyDescent="0.2">
      <c r="BW123" s="10" t="s">
        <v>40</v>
      </c>
      <c r="BY123" s="10" t="s">
        <v>40</v>
      </c>
      <c r="CA123" s="10" t="s">
        <v>40</v>
      </c>
      <c r="CC123" s="10" t="s">
        <v>40</v>
      </c>
      <c r="CE123" s="10" t="s">
        <v>40</v>
      </c>
      <c r="CG123" s="10" t="s">
        <v>40</v>
      </c>
      <c r="CI123" s="10" t="s">
        <v>40</v>
      </c>
      <c r="CK123" s="10" t="s">
        <v>40</v>
      </c>
      <c r="CM123" s="10" t="s">
        <v>40</v>
      </c>
      <c r="CO123" s="10" t="s">
        <v>40</v>
      </c>
      <c r="CQ123" s="10" t="s">
        <v>40</v>
      </c>
      <c r="CS123" s="10" t="s">
        <v>40</v>
      </c>
      <c r="CU123" s="10" t="s">
        <v>40</v>
      </c>
      <c r="CW123" s="10" t="s">
        <v>40</v>
      </c>
      <c r="CY123" s="10" t="s">
        <v>40</v>
      </c>
      <c r="DA123" s="10" t="s">
        <v>40</v>
      </c>
      <c r="DC123" s="10" t="s">
        <v>40</v>
      </c>
      <c r="DE123" s="10" t="s">
        <v>40</v>
      </c>
      <c r="DG123" s="10" t="s">
        <v>40</v>
      </c>
      <c r="DI123" s="10" t="s">
        <v>40</v>
      </c>
      <c r="DK123" s="10" t="s">
        <v>40</v>
      </c>
      <c r="DM123" s="10" t="s">
        <v>40</v>
      </c>
      <c r="DO123" s="10" t="s">
        <v>40</v>
      </c>
      <c r="DQ123" s="10" t="s">
        <v>40</v>
      </c>
      <c r="DS123" s="10" t="s">
        <v>40</v>
      </c>
      <c r="DU123" s="10" t="s">
        <v>40</v>
      </c>
      <c r="DW123" s="10" t="s">
        <v>40</v>
      </c>
      <c r="DY123" s="10" t="s">
        <v>40</v>
      </c>
      <c r="EA123" s="10" t="s">
        <v>40</v>
      </c>
      <c r="EC123" s="10" t="s">
        <v>40</v>
      </c>
      <c r="EE123" s="10" t="s">
        <v>40</v>
      </c>
      <c r="EG123" s="10" t="s">
        <v>40</v>
      </c>
      <c r="EI123" s="10" t="s">
        <v>40</v>
      </c>
      <c r="EK123" s="10" t="s">
        <v>40</v>
      </c>
      <c r="EM123" s="10" t="s">
        <v>40</v>
      </c>
      <c r="EO123" s="10" t="s">
        <v>40</v>
      </c>
      <c r="EQ123" s="10" t="s">
        <v>40</v>
      </c>
      <c r="ES123" s="10" t="s">
        <v>40</v>
      </c>
      <c r="EU123" s="10" t="s">
        <v>40</v>
      </c>
      <c r="EW123" s="10" t="s">
        <v>40</v>
      </c>
      <c r="EY123" s="10" t="s">
        <v>40</v>
      </c>
      <c r="FA123" s="10" t="s">
        <v>40</v>
      </c>
      <c r="FC123" s="10" t="s">
        <v>40</v>
      </c>
      <c r="FE123" s="10" t="s">
        <v>40</v>
      </c>
      <c r="FG123" s="10" t="s">
        <v>40</v>
      </c>
      <c r="FI123" s="10" t="s">
        <v>40</v>
      </c>
      <c r="FK123" s="10" t="s">
        <v>40</v>
      </c>
      <c r="FM123" s="10" t="s">
        <v>40</v>
      </c>
      <c r="FO123" s="10" t="s">
        <v>40</v>
      </c>
      <c r="FQ123" s="10" t="s">
        <v>40</v>
      </c>
      <c r="FS123" s="10" t="s">
        <v>40</v>
      </c>
      <c r="FU123" s="10" t="s">
        <v>40</v>
      </c>
      <c r="FW123" s="10" t="s">
        <v>40</v>
      </c>
      <c r="FY123" s="10" t="s">
        <v>40</v>
      </c>
      <c r="GA123" s="10" t="s">
        <v>40</v>
      </c>
      <c r="GC123" s="10" t="s">
        <v>40</v>
      </c>
      <c r="GE123" s="10" t="s">
        <v>40</v>
      </c>
      <c r="GG123" s="10" t="s">
        <v>40</v>
      </c>
      <c r="GI123" s="10" t="s">
        <v>40</v>
      </c>
      <c r="GK123" s="10" t="s">
        <v>40</v>
      </c>
      <c r="GM123" s="10" t="s">
        <v>40</v>
      </c>
      <c r="GO123" s="10" t="s">
        <v>40</v>
      </c>
      <c r="GQ123" s="10" t="s">
        <v>40</v>
      </c>
      <c r="GS123" s="10" t="s">
        <v>40</v>
      </c>
      <c r="GU123" s="10" t="s">
        <v>40</v>
      </c>
      <c r="GW123" s="10" t="s">
        <v>40</v>
      </c>
      <c r="GY123" s="10" t="s">
        <v>40</v>
      </c>
      <c r="HA123" s="10" t="s">
        <v>40</v>
      </c>
      <c r="HC123" s="10" t="s">
        <v>40</v>
      </c>
    </row>
    <row r="125" spans="69:211" x14ac:dyDescent="0.2">
      <c r="BY125" s="26" t="s">
        <v>40</v>
      </c>
      <c r="CA125" s="26" t="s">
        <v>40</v>
      </c>
      <c r="CC125" s="26" t="s">
        <v>40</v>
      </c>
      <c r="CE125" s="26" t="s">
        <v>40</v>
      </c>
      <c r="CG125" s="26" t="s">
        <v>40</v>
      </c>
      <c r="CI125" s="26" t="s">
        <v>40</v>
      </c>
      <c r="CK125" s="26" t="s">
        <v>40</v>
      </c>
      <c r="CM125" s="26" t="s">
        <v>40</v>
      </c>
      <c r="CO125" s="26" t="s">
        <v>40</v>
      </c>
      <c r="CQ125" s="26" t="s">
        <v>40</v>
      </c>
      <c r="CS125" s="26" t="s">
        <v>40</v>
      </c>
      <c r="CU125" s="26" t="s">
        <v>40</v>
      </c>
      <c r="CW125" s="26" t="s">
        <v>40</v>
      </c>
      <c r="CY125" s="26" t="s">
        <v>40</v>
      </c>
      <c r="DA125" s="26" t="s">
        <v>40</v>
      </c>
      <c r="DC125" s="26" t="s">
        <v>40</v>
      </c>
      <c r="DE125" s="26" t="s">
        <v>40</v>
      </c>
      <c r="DG125" s="26" t="s">
        <v>40</v>
      </c>
      <c r="DI125" s="26" t="s">
        <v>40</v>
      </c>
      <c r="DK125" s="26" t="s">
        <v>40</v>
      </c>
      <c r="DM125" s="26" t="s">
        <v>40</v>
      </c>
      <c r="DO125" s="26" t="s">
        <v>40</v>
      </c>
      <c r="DQ125" s="26" t="s">
        <v>40</v>
      </c>
      <c r="DS125" s="26" t="s">
        <v>40</v>
      </c>
      <c r="DU125" s="26" t="s">
        <v>40</v>
      </c>
      <c r="DW125" s="26" t="s">
        <v>40</v>
      </c>
      <c r="DY125" s="26" t="s">
        <v>40</v>
      </c>
      <c r="EA125" s="26" t="s">
        <v>40</v>
      </c>
      <c r="EC125" s="26" t="s">
        <v>40</v>
      </c>
      <c r="EE125" s="26" t="s">
        <v>40</v>
      </c>
      <c r="EG125" s="26" t="s">
        <v>40</v>
      </c>
      <c r="EI125" s="26" t="s">
        <v>40</v>
      </c>
      <c r="EK125" s="26" t="s">
        <v>40</v>
      </c>
      <c r="EM125" s="26" t="s">
        <v>40</v>
      </c>
      <c r="EO125" s="26" t="s">
        <v>40</v>
      </c>
      <c r="EQ125" s="26" t="s">
        <v>40</v>
      </c>
      <c r="ES125" s="26" t="s">
        <v>40</v>
      </c>
      <c r="EU125" s="26" t="s">
        <v>40</v>
      </c>
      <c r="EW125" s="26" t="s">
        <v>40</v>
      </c>
      <c r="EY125" s="26" t="s">
        <v>40</v>
      </c>
      <c r="FA125" s="26" t="s">
        <v>40</v>
      </c>
      <c r="FC125" s="26" t="s">
        <v>40</v>
      </c>
      <c r="FE125" s="26" t="s">
        <v>40</v>
      </c>
      <c r="FG125" s="26" t="s">
        <v>40</v>
      </c>
      <c r="FI125" s="26" t="s">
        <v>40</v>
      </c>
      <c r="FK125" s="26" t="s">
        <v>40</v>
      </c>
      <c r="FM125" s="26" t="s">
        <v>40</v>
      </c>
      <c r="FO125" s="26" t="s">
        <v>40</v>
      </c>
      <c r="FQ125" s="26" t="s">
        <v>40</v>
      </c>
      <c r="FS125" s="26" t="s">
        <v>40</v>
      </c>
      <c r="FU125" s="26" t="s">
        <v>40</v>
      </c>
      <c r="FW125" s="26" t="s">
        <v>40</v>
      </c>
      <c r="FY125" s="26" t="s">
        <v>40</v>
      </c>
      <c r="GA125" s="26" t="s">
        <v>40</v>
      </c>
      <c r="GC125" s="26" t="s">
        <v>40</v>
      </c>
      <c r="GE125" s="26" t="s">
        <v>40</v>
      </c>
      <c r="GG125" s="26" t="s">
        <v>40</v>
      </c>
      <c r="GI125" s="26" t="s">
        <v>40</v>
      </c>
      <c r="GK125" s="26" t="s">
        <v>40</v>
      </c>
      <c r="GM125" s="26" t="s">
        <v>40</v>
      </c>
      <c r="GO125" s="26" t="s">
        <v>40</v>
      </c>
      <c r="GQ125" s="26" t="s">
        <v>40</v>
      </c>
      <c r="GS125" s="26" t="s">
        <v>40</v>
      </c>
      <c r="GU125" s="26" t="s">
        <v>40</v>
      </c>
      <c r="GW125" s="26" t="s">
        <v>40</v>
      </c>
      <c r="GY125" s="26" t="s">
        <v>40</v>
      </c>
      <c r="HA125" s="26" t="s">
        <v>40</v>
      </c>
      <c r="HC125" s="26" t="s">
        <v>40</v>
      </c>
    </row>
    <row r="126" spans="69:211" x14ac:dyDescent="0.2">
      <c r="BY126" s="10" t="s">
        <v>40</v>
      </c>
      <c r="CA126" s="10" t="s">
        <v>40</v>
      </c>
      <c r="CC126" s="10" t="s">
        <v>40</v>
      </c>
      <c r="CE126" s="10" t="s">
        <v>40</v>
      </c>
      <c r="CG126" s="10" t="s">
        <v>40</v>
      </c>
      <c r="CI126" s="10" t="s">
        <v>40</v>
      </c>
      <c r="CK126" s="10" t="s">
        <v>40</v>
      </c>
      <c r="CM126" s="10" t="s">
        <v>40</v>
      </c>
      <c r="CO126" s="10" t="s">
        <v>40</v>
      </c>
      <c r="CQ126" s="10" t="s">
        <v>40</v>
      </c>
      <c r="CS126" s="10" t="s">
        <v>40</v>
      </c>
      <c r="CU126" s="10" t="s">
        <v>40</v>
      </c>
      <c r="CW126" s="10" t="s">
        <v>40</v>
      </c>
      <c r="CY126" s="10" t="s">
        <v>40</v>
      </c>
      <c r="DA126" s="10" t="s">
        <v>40</v>
      </c>
      <c r="DC126" s="10" t="s">
        <v>40</v>
      </c>
      <c r="DE126" s="10" t="s">
        <v>40</v>
      </c>
      <c r="DG126" s="10" t="s">
        <v>40</v>
      </c>
      <c r="DI126" s="10" t="s">
        <v>40</v>
      </c>
      <c r="DK126" s="10" t="s">
        <v>40</v>
      </c>
      <c r="DM126" s="10" t="s">
        <v>40</v>
      </c>
      <c r="DO126" s="10" t="s">
        <v>40</v>
      </c>
      <c r="DQ126" s="10" t="s">
        <v>40</v>
      </c>
      <c r="DS126" s="10" t="s">
        <v>40</v>
      </c>
      <c r="DU126" s="10" t="s">
        <v>40</v>
      </c>
      <c r="DW126" s="10" t="s">
        <v>40</v>
      </c>
      <c r="DY126" s="10" t="s">
        <v>40</v>
      </c>
      <c r="EA126" s="10" t="s">
        <v>40</v>
      </c>
      <c r="EC126" s="10" t="s">
        <v>40</v>
      </c>
      <c r="EE126" s="10" t="s">
        <v>40</v>
      </c>
      <c r="EG126" s="10" t="s">
        <v>40</v>
      </c>
      <c r="EI126" s="10" t="s">
        <v>40</v>
      </c>
      <c r="EK126" s="10" t="s">
        <v>40</v>
      </c>
      <c r="EM126" s="10" t="s">
        <v>40</v>
      </c>
      <c r="EO126" s="10" t="s">
        <v>40</v>
      </c>
      <c r="EQ126" s="10" t="s">
        <v>40</v>
      </c>
      <c r="ES126" s="10" t="s">
        <v>40</v>
      </c>
      <c r="EU126" s="10" t="s">
        <v>40</v>
      </c>
      <c r="EW126" s="10" t="s">
        <v>40</v>
      </c>
      <c r="EY126" s="10" t="s">
        <v>40</v>
      </c>
      <c r="FA126" s="10" t="s">
        <v>40</v>
      </c>
      <c r="FC126" s="10" t="s">
        <v>40</v>
      </c>
      <c r="FE126" s="10" t="s">
        <v>40</v>
      </c>
      <c r="FG126" s="10" t="s">
        <v>40</v>
      </c>
      <c r="FI126" s="10" t="s">
        <v>40</v>
      </c>
      <c r="FK126" s="10" t="s">
        <v>40</v>
      </c>
      <c r="FM126" s="10" t="s">
        <v>40</v>
      </c>
      <c r="FO126" s="10" t="s">
        <v>40</v>
      </c>
      <c r="FQ126" s="10" t="s">
        <v>40</v>
      </c>
      <c r="FS126" s="10" t="s">
        <v>40</v>
      </c>
      <c r="FU126" s="10" t="s">
        <v>40</v>
      </c>
      <c r="FW126" s="10" t="s">
        <v>40</v>
      </c>
      <c r="FY126" s="10" t="s">
        <v>40</v>
      </c>
      <c r="GA126" s="10" t="s">
        <v>40</v>
      </c>
      <c r="GC126" s="10" t="s">
        <v>40</v>
      </c>
      <c r="GE126" s="10" t="s">
        <v>40</v>
      </c>
      <c r="GG126" s="10" t="s">
        <v>40</v>
      </c>
      <c r="GI126" s="10" t="s">
        <v>40</v>
      </c>
      <c r="GK126" s="10" t="s">
        <v>40</v>
      </c>
      <c r="GM126" s="10" t="s">
        <v>40</v>
      </c>
      <c r="GO126" s="10" t="s">
        <v>40</v>
      </c>
      <c r="GQ126" s="10" t="s">
        <v>40</v>
      </c>
      <c r="GS126" s="10" t="s">
        <v>40</v>
      </c>
      <c r="GU126" s="10" t="s">
        <v>40</v>
      </c>
      <c r="GW126" s="10" t="s">
        <v>40</v>
      </c>
      <c r="GY126" s="10" t="s">
        <v>40</v>
      </c>
      <c r="HA126" s="10" t="s">
        <v>40</v>
      </c>
      <c r="HC126" s="10" t="s">
        <v>40</v>
      </c>
    </row>
    <row r="128" spans="69:211" x14ac:dyDescent="0.2">
      <c r="CA128" s="26" t="s">
        <v>40</v>
      </c>
      <c r="CC128" s="26" t="s">
        <v>40</v>
      </c>
      <c r="CE128" s="26" t="s">
        <v>40</v>
      </c>
      <c r="CG128" s="26" t="s">
        <v>40</v>
      </c>
      <c r="CI128" s="26" t="s">
        <v>40</v>
      </c>
      <c r="CK128" s="26" t="s">
        <v>40</v>
      </c>
      <c r="CM128" s="26" t="s">
        <v>40</v>
      </c>
      <c r="CO128" s="26" t="s">
        <v>40</v>
      </c>
      <c r="CQ128" s="26" t="s">
        <v>40</v>
      </c>
      <c r="CS128" s="26" t="s">
        <v>40</v>
      </c>
      <c r="CU128" s="26" t="s">
        <v>40</v>
      </c>
      <c r="CW128" s="26" t="s">
        <v>40</v>
      </c>
      <c r="CY128" s="26" t="s">
        <v>40</v>
      </c>
      <c r="DA128" s="26" t="s">
        <v>40</v>
      </c>
      <c r="DC128" s="26" t="s">
        <v>40</v>
      </c>
      <c r="DE128" s="26" t="s">
        <v>40</v>
      </c>
      <c r="DG128" s="26" t="s">
        <v>40</v>
      </c>
      <c r="DI128" s="26" t="s">
        <v>40</v>
      </c>
      <c r="DK128" s="26" t="s">
        <v>40</v>
      </c>
      <c r="DM128" s="26" t="s">
        <v>40</v>
      </c>
      <c r="DO128" s="26" t="s">
        <v>40</v>
      </c>
      <c r="DQ128" s="26" t="s">
        <v>40</v>
      </c>
      <c r="DS128" s="26" t="s">
        <v>40</v>
      </c>
      <c r="DU128" s="26" t="s">
        <v>40</v>
      </c>
      <c r="DW128" s="26" t="s">
        <v>40</v>
      </c>
      <c r="DY128" s="26" t="s">
        <v>40</v>
      </c>
      <c r="EA128" s="26" t="s">
        <v>40</v>
      </c>
      <c r="EC128" s="26" t="s">
        <v>40</v>
      </c>
      <c r="EE128" s="26" t="s">
        <v>40</v>
      </c>
      <c r="EG128" s="26" t="s">
        <v>40</v>
      </c>
      <c r="EI128" s="26" t="s">
        <v>40</v>
      </c>
      <c r="EK128" s="26" t="s">
        <v>40</v>
      </c>
      <c r="EM128" s="26" t="s">
        <v>40</v>
      </c>
      <c r="EO128" s="26" t="s">
        <v>40</v>
      </c>
      <c r="EQ128" s="26" t="s">
        <v>40</v>
      </c>
      <c r="ES128" s="26" t="s">
        <v>40</v>
      </c>
      <c r="EU128" s="26" t="s">
        <v>40</v>
      </c>
      <c r="EW128" s="26" t="s">
        <v>40</v>
      </c>
      <c r="EY128" s="26" t="s">
        <v>40</v>
      </c>
      <c r="FA128" s="26" t="s">
        <v>40</v>
      </c>
      <c r="FC128" s="26" t="s">
        <v>40</v>
      </c>
      <c r="FE128" s="26" t="s">
        <v>40</v>
      </c>
      <c r="FG128" s="26" t="s">
        <v>40</v>
      </c>
      <c r="FI128" s="26" t="s">
        <v>40</v>
      </c>
      <c r="FK128" s="26" t="s">
        <v>40</v>
      </c>
      <c r="FM128" s="26" t="s">
        <v>40</v>
      </c>
      <c r="FO128" s="26" t="s">
        <v>40</v>
      </c>
      <c r="FQ128" s="26" t="s">
        <v>40</v>
      </c>
      <c r="FS128" s="26" t="s">
        <v>40</v>
      </c>
      <c r="FU128" s="26" t="s">
        <v>40</v>
      </c>
      <c r="FW128" s="26" t="s">
        <v>40</v>
      </c>
      <c r="FY128" s="26" t="s">
        <v>40</v>
      </c>
      <c r="GA128" s="26" t="s">
        <v>40</v>
      </c>
      <c r="GC128" s="26" t="s">
        <v>40</v>
      </c>
      <c r="GE128" s="26" t="s">
        <v>40</v>
      </c>
      <c r="GG128" s="26" t="s">
        <v>40</v>
      </c>
      <c r="GI128" s="26" t="s">
        <v>40</v>
      </c>
      <c r="GK128" s="26" t="s">
        <v>40</v>
      </c>
      <c r="GM128" s="26" t="s">
        <v>40</v>
      </c>
      <c r="GO128" s="26" t="s">
        <v>40</v>
      </c>
      <c r="GQ128" s="26" t="s">
        <v>40</v>
      </c>
      <c r="GS128" s="26" t="s">
        <v>40</v>
      </c>
      <c r="GU128" s="26" t="s">
        <v>40</v>
      </c>
      <c r="GW128" s="26" t="s">
        <v>40</v>
      </c>
      <c r="GY128" s="26" t="s">
        <v>40</v>
      </c>
      <c r="HA128" s="26" t="s">
        <v>40</v>
      </c>
      <c r="HC128" s="26" t="s">
        <v>40</v>
      </c>
    </row>
    <row r="129" spans="79:211" x14ac:dyDescent="0.2">
      <c r="CA129" s="10" t="s">
        <v>40</v>
      </c>
      <c r="CC129" s="10" t="s">
        <v>40</v>
      </c>
      <c r="CE129" s="10" t="s">
        <v>40</v>
      </c>
      <c r="CG129" s="10" t="s">
        <v>40</v>
      </c>
      <c r="CI129" s="10" t="s">
        <v>40</v>
      </c>
      <c r="CK129" s="10" t="s">
        <v>40</v>
      </c>
      <c r="CM129" s="10" t="s">
        <v>40</v>
      </c>
      <c r="CO129" s="10" t="s">
        <v>40</v>
      </c>
      <c r="CQ129" s="10" t="s">
        <v>40</v>
      </c>
      <c r="CS129" s="10" t="s">
        <v>40</v>
      </c>
      <c r="CU129" s="10" t="s">
        <v>40</v>
      </c>
      <c r="CW129" s="10" t="s">
        <v>40</v>
      </c>
      <c r="CY129" s="10" t="s">
        <v>40</v>
      </c>
      <c r="DA129" s="10" t="s">
        <v>40</v>
      </c>
      <c r="DC129" s="10" t="s">
        <v>40</v>
      </c>
      <c r="DE129" s="10" t="s">
        <v>40</v>
      </c>
      <c r="DG129" s="10" t="s">
        <v>40</v>
      </c>
      <c r="DI129" s="10" t="s">
        <v>40</v>
      </c>
      <c r="DK129" s="10" t="s">
        <v>40</v>
      </c>
      <c r="DM129" s="10" t="s">
        <v>40</v>
      </c>
      <c r="DO129" s="10" t="s">
        <v>40</v>
      </c>
      <c r="DQ129" s="10" t="s">
        <v>40</v>
      </c>
      <c r="DS129" s="10" t="s">
        <v>40</v>
      </c>
      <c r="DU129" s="10" t="s">
        <v>40</v>
      </c>
      <c r="DW129" s="10" t="s">
        <v>40</v>
      </c>
      <c r="DY129" s="10" t="s">
        <v>40</v>
      </c>
      <c r="EA129" s="10" t="s">
        <v>40</v>
      </c>
      <c r="EC129" s="10" t="s">
        <v>40</v>
      </c>
      <c r="EE129" s="10" t="s">
        <v>40</v>
      </c>
      <c r="EG129" s="10" t="s">
        <v>40</v>
      </c>
      <c r="EI129" s="10" t="s">
        <v>40</v>
      </c>
      <c r="EK129" s="10" t="s">
        <v>40</v>
      </c>
      <c r="EM129" s="10" t="s">
        <v>40</v>
      </c>
      <c r="EO129" s="10" t="s">
        <v>40</v>
      </c>
      <c r="EQ129" s="10" t="s">
        <v>40</v>
      </c>
      <c r="ES129" s="10" t="s">
        <v>40</v>
      </c>
      <c r="EU129" s="10" t="s">
        <v>40</v>
      </c>
      <c r="EW129" s="10" t="s">
        <v>40</v>
      </c>
      <c r="EY129" s="10" t="s">
        <v>40</v>
      </c>
      <c r="FA129" s="10" t="s">
        <v>40</v>
      </c>
      <c r="FC129" s="10" t="s">
        <v>40</v>
      </c>
      <c r="FE129" s="10" t="s">
        <v>40</v>
      </c>
      <c r="FG129" s="10" t="s">
        <v>40</v>
      </c>
      <c r="FI129" s="10" t="s">
        <v>40</v>
      </c>
      <c r="FK129" s="10" t="s">
        <v>40</v>
      </c>
      <c r="FM129" s="10" t="s">
        <v>40</v>
      </c>
      <c r="FO129" s="10" t="s">
        <v>40</v>
      </c>
      <c r="FQ129" s="10" t="s">
        <v>40</v>
      </c>
      <c r="FS129" s="10" t="s">
        <v>40</v>
      </c>
      <c r="FU129" s="10" t="s">
        <v>40</v>
      </c>
      <c r="FW129" s="10" t="s">
        <v>40</v>
      </c>
      <c r="FY129" s="10" t="s">
        <v>40</v>
      </c>
      <c r="GA129" s="10" t="s">
        <v>40</v>
      </c>
      <c r="GC129" s="10" t="s">
        <v>40</v>
      </c>
      <c r="GE129" s="10" t="s">
        <v>40</v>
      </c>
      <c r="GG129" s="10" t="s">
        <v>40</v>
      </c>
      <c r="GI129" s="10" t="s">
        <v>40</v>
      </c>
      <c r="GK129" s="10" t="s">
        <v>40</v>
      </c>
      <c r="GM129" s="10" t="s">
        <v>40</v>
      </c>
      <c r="GO129" s="10" t="s">
        <v>40</v>
      </c>
      <c r="GQ129" s="10" t="s">
        <v>40</v>
      </c>
      <c r="GS129" s="10" t="s">
        <v>40</v>
      </c>
      <c r="GU129" s="10" t="s">
        <v>40</v>
      </c>
      <c r="GW129" s="10" t="s">
        <v>40</v>
      </c>
      <c r="GY129" s="10" t="s">
        <v>40</v>
      </c>
      <c r="HA129" s="10" t="s">
        <v>40</v>
      </c>
      <c r="HC129" s="10" t="s">
        <v>40</v>
      </c>
    </row>
    <row r="131" spans="79:211" x14ac:dyDescent="0.2">
      <c r="CC131" s="26" t="s">
        <v>40</v>
      </c>
      <c r="CE131" s="26" t="s">
        <v>40</v>
      </c>
      <c r="CG131" s="26" t="s">
        <v>40</v>
      </c>
      <c r="CI131" s="26" t="s">
        <v>40</v>
      </c>
      <c r="CK131" s="26" t="s">
        <v>40</v>
      </c>
      <c r="CM131" s="26" t="s">
        <v>40</v>
      </c>
      <c r="CO131" s="26" t="s">
        <v>40</v>
      </c>
      <c r="CQ131" s="26" t="s">
        <v>40</v>
      </c>
      <c r="CS131" s="26" t="s">
        <v>40</v>
      </c>
      <c r="CU131" s="26" t="s">
        <v>40</v>
      </c>
      <c r="CW131" s="26" t="s">
        <v>40</v>
      </c>
      <c r="CY131" s="26" t="s">
        <v>40</v>
      </c>
      <c r="DA131" s="26" t="s">
        <v>40</v>
      </c>
      <c r="DC131" s="26" t="s">
        <v>40</v>
      </c>
      <c r="DE131" s="26" t="s">
        <v>40</v>
      </c>
      <c r="DG131" s="26" t="s">
        <v>40</v>
      </c>
      <c r="DI131" s="26" t="s">
        <v>40</v>
      </c>
      <c r="DK131" s="26" t="s">
        <v>40</v>
      </c>
      <c r="DM131" s="26" t="s">
        <v>40</v>
      </c>
      <c r="DO131" s="26" t="s">
        <v>40</v>
      </c>
      <c r="DQ131" s="26" t="s">
        <v>40</v>
      </c>
      <c r="DS131" s="26" t="s">
        <v>40</v>
      </c>
      <c r="DU131" s="26" t="s">
        <v>40</v>
      </c>
      <c r="DW131" s="26" t="s">
        <v>40</v>
      </c>
      <c r="DY131" s="26" t="s">
        <v>40</v>
      </c>
      <c r="EA131" s="26" t="s">
        <v>40</v>
      </c>
      <c r="EC131" s="26" t="s">
        <v>40</v>
      </c>
      <c r="EE131" s="26" t="s">
        <v>40</v>
      </c>
      <c r="EG131" s="26" t="s">
        <v>40</v>
      </c>
      <c r="EI131" s="26" t="s">
        <v>40</v>
      </c>
      <c r="EK131" s="26" t="s">
        <v>40</v>
      </c>
      <c r="EM131" s="26" t="s">
        <v>40</v>
      </c>
      <c r="EO131" s="26" t="s">
        <v>40</v>
      </c>
      <c r="EQ131" s="26" t="s">
        <v>40</v>
      </c>
      <c r="ES131" s="26" t="s">
        <v>40</v>
      </c>
      <c r="EU131" s="26" t="s">
        <v>40</v>
      </c>
      <c r="EW131" s="26" t="s">
        <v>40</v>
      </c>
      <c r="EY131" s="26" t="s">
        <v>40</v>
      </c>
      <c r="FA131" s="26" t="s">
        <v>40</v>
      </c>
      <c r="FC131" s="26" t="s">
        <v>40</v>
      </c>
      <c r="FE131" s="26" t="s">
        <v>40</v>
      </c>
      <c r="FG131" s="26" t="s">
        <v>40</v>
      </c>
      <c r="FI131" s="26" t="s">
        <v>40</v>
      </c>
      <c r="FK131" s="26" t="s">
        <v>40</v>
      </c>
      <c r="FM131" s="26" t="s">
        <v>40</v>
      </c>
      <c r="FO131" s="26" t="s">
        <v>40</v>
      </c>
      <c r="FQ131" s="26" t="s">
        <v>40</v>
      </c>
      <c r="FS131" s="26" t="s">
        <v>40</v>
      </c>
      <c r="FU131" s="26" t="s">
        <v>40</v>
      </c>
      <c r="FW131" s="26" t="s">
        <v>40</v>
      </c>
      <c r="FY131" s="26" t="s">
        <v>40</v>
      </c>
      <c r="GA131" s="26" t="s">
        <v>40</v>
      </c>
      <c r="GC131" s="26" t="s">
        <v>40</v>
      </c>
      <c r="GE131" s="26" t="s">
        <v>40</v>
      </c>
      <c r="GG131" s="26" t="s">
        <v>40</v>
      </c>
      <c r="GI131" s="26" t="s">
        <v>40</v>
      </c>
      <c r="GK131" s="26" t="s">
        <v>40</v>
      </c>
      <c r="GM131" s="26" t="s">
        <v>40</v>
      </c>
      <c r="GO131" s="26" t="s">
        <v>40</v>
      </c>
      <c r="GQ131" s="26" t="s">
        <v>40</v>
      </c>
      <c r="GS131" s="26" t="s">
        <v>40</v>
      </c>
      <c r="GU131" s="26" t="s">
        <v>40</v>
      </c>
      <c r="GW131" s="26" t="s">
        <v>40</v>
      </c>
      <c r="GY131" s="26" t="s">
        <v>40</v>
      </c>
      <c r="HA131" s="26" t="s">
        <v>40</v>
      </c>
      <c r="HC131" s="26" t="s">
        <v>40</v>
      </c>
    </row>
    <row r="132" spans="79:211" x14ac:dyDescent="0.2">
      <c r="CC132" s="10" t="s">
        <v>40</v>
      </c>
      <c r="CE132" s="10" t="s">
        <v>40</v>
      </c>
      <c r="CG132" s="10" t="s">
        <v>40</v>
      </c>
      <c r="CI132" s="10" t="s">
        <v>40</v>
      </c>
      <c r="CK132" s="10" t="s">
        <v>40</v>
      </c>
      <c r="CM132" s="10" t="s">
        <v>40</v>
      </c>
      <c r="CO132" s="10" t="s">
        <v>40</v>
      </c>
      <c r="CQ132" s="10" t="s">
        <v>40</v>
      </c>
      <c r="CS132" s="10" t="s">
        <v>40</v>
      </c>
      <c r="CU132" s="10" t="s">
        <v>40</v>
      </c>
      <c r="CW132" s="10" t="s">
        <v>40</v>
      </c>
      <c r="CY132" s="10" t="s">
        <v>40</v>
      </c>
      <c r="DA132" s="10" t="s">
        <v>40</v>
      </c>
      <c r="DC132" s="10" t="s">
        <v>40</v>
      </c>
      <c r="DE132" s="10" t="s">
        <v>40</v>
      </c>
      <c r="DG132" s="10" t="s">
        <v>40</v>
      </c>
      <c r="DI132" s="10" t="s">
        <v>40</v>
      </c>
      <c r="DK132" s="10" t="s">
        <v>40</v>
      </c>
      <c r="DM132" s="10" t="s">
        <v>40</v>
      </c>
      <c r="DO132" s="10" t="s">
        <v>40</v>
      </c>
      <c r="DQ132" s="10" t="s">
        <v>40</v>
      </c>
      <c r="DS132" s="10" t="s">
        <v>40</v>
      </c>
      <c r="DU132" s="10" t="s">
        <v>40</v>
      </c>
      <c r="DW132" s="10" t="s">
        <v>40</v>
      </c>
      <c r="DY132" s="10" t="s">
        <v>40</v>
      </c>
      <c r="EA132" s="10" t="s">
        <v>40</v>
      </c>
      <c r="EC132" s="10" t="s">
        <v>40</v>
      </c>
      <c r="EE132" s="10" t="s">
        <v>40</v>
      </c>
      <c r="EG132" s="10" t="s">
        <v>40</v>
      </c>
      <c r="EI132" s="10" t="s">
        <v>40</v>
      </c>
      <c r="EK132" s="10" t="s">
        <v>40</v>
      </c>
      <c r="EM132" s="10" t="s">
        <v>40</v>
      </c>
      <c r="EO132" s="10" t="s">
        <v>40</v>
      </c>
      <c r="EQ132" s="10" t="s">
        <v>40</v>
      </c>
      <c r="ES132" s="10" t="s">
        <v>40</v>
      </c>
      <c r="EU132" s="10" t="s">
        <v>40</v>
      </c>
      <c r="EW132" s="10" t="s">
        <v>40</v>
      </c>
      <c r="EY132" s="10" t="s">
        <v>40</v>
      </c>
      <c r="FA132" s="10" t="s">
        <v>40</v>
      </c>
      <c r="FC132" s="10" t="s">
        <v>40</v>
      </c>
      <c r="FE132" s="10" t="s">
        <v>40</v>
      </c>
      <c r="FG132" s="10" t="s">
        <v>40</v>
      </c>
      <c r="FI132" s="10" t="s">
        <v>40</v>
      </c>
      <c r="FK132" s="10" t="s">
        <v>40</v>
      </c>
      <c r="FM132" s="10" t="s">
        <v>40</v>
      </c>
      <c r="FO132" s="10" t="s">
        <v>40</v>
      </c>
      <c r="FQ132" s="10" t="s">
        <v>40</v>
      </c>
      <c r="FS132" s="10" t="s">
        <v>40</v>
      </c>
      <c r="FU132" s="10" t="s">
        <v>40</v>
      </c>
      <c r="FW132" s="10" t="s">
        <v>40</v>
      </c>
      <c r="FY132" s="10" t="s">
        <v>40</v>
      </c>
      <c r="GA132" s="10" t="s">
        <v>40</v>
      </c>
      <c r="GC132" s="10" t="s">
        <v>40</v>
      </c>
      <c r="GE132" s="10" t="s">
        <v>40</v>
      </c>
      <c r="GG132" s="10" t="s">
        <v>40</v>
      </c>
      <c r="GI132" s="10" t="s">
        <v>40</v>
      </c>
      <c r="GK132" s="10" t="s">
        <v>40</v>
      </c>
      <c r="GM132" s="10" t="s">
        <v>40</v>
      </c>
      <c r="GO132" s="10" t="s">
        <v>40</v>
      </c>
      <c r="GQ132" s="10" t="s">
        <v>40</v>
      </c>
      <c r="GS132" s="10" t="s">
        <v>40</v>
      </c>
      <c r="GU132" s="10" t="s">
        <v>40</v>
      </c>
      <c r="GW132" s="10" t="s">
        <v>40</v>
      </c>
      <c r="GY132" s="10" t="s">
        <v>40</v>
      </c>
      <c r="HA132" s="10" t="s">
        <v>40</v>
      </c>
      <c r="HC132" s="10" t="s">
        <v>40</v>
      </c>
    </row>
    <row r="134" spans="79:211" x14ac:dyDescent="0.2">
      <c r="CE134" s="26" t="s">
        <v>40</v>
      </c>
      <c r="CG134" s="26" t="s">
        <v>40</v>
      </c>
      <c r="CI134" s="26" t="s">
        <v>40</v>
      </c>
      <c r="CK134" s="26" t="s">
        <v>40</v>
      </c>
      <c r="CM134" s="26" t="s">
        <v>40</v>
      </c>
      <c r="CO134" s="26" t="s">
        <v>40</v>
      </c>
      <c r="CQ134" s="26" t="s">
        <v>40</v>
      </c>
      <c r="CS134" s="26" t="s">
        <v>40</v>
      </c>
      <c r="CU134" s="26" t="s">
        <v>40</v>
      </c>
      <c r="CW134" s="26" t="s">
        <v>40</v>
      </c>
      <c r="CY134" s="26" t="s">
        <v>40</v>
      </c>
      <c r="DA134" s="26" t="s">
        <v>40</v>
      </c>
      <c r="DC134" s="26" t="s">
        <v>40</v>
      </c>
      <c r="DE134" s="26" t="s">
        <v>40</v>
      </c>
      <c r="DG134" s="26" t="s">
        <v>40</v>
      </c>
      <c r="DI134" s="26" t="s">
        <v>40</v>
      </c>
      <c r="DK134" s="26" t="s">
        <v>40</v>
      </c>
      <c r="DM134" s="26" t="s">
        <v>40</v>
      </c>
      <c r="DO134" s="26" t="s">
        <v>40</v>
      </c>
      <c r="DQ134" s="26" t="s">
        <v>40</v>
      </c>
      <c r="DS134" s="26" t="s">
        <v>40</v>
      </c>
      <c r="DU134" s="26" t="s">
        <v>40</v>
      </c>
      <c r="DW134" s="26" t="s">
        <v>40</v>
      </c>
      <c r="DY134" s="26" t="s">
        <v>40</v>
      </c>
      <c r="EA134" s="26" t="s">
        <v>40</v>
      </c>
      <c r="EC134" s="26" t="s">
        <v>40</v>
      </c>
      <c r="EE134" s="26" t="s">
        <v>40</v>
      </c>
      <c r="EG134" s="26" t="s">
        <v>40</v>
      </c>
      <c r="EI134" s="26" t="s">
        <v>40</v>
      </c>
      <c r="EK134" s="26" t="s">
        <v>40</v>
      </c>
      <c r="EM134" s="26" t="s">
        <v>40</v>
      </c>
      <c r="EO134" s="26" t="s">
        <v>40</v>
      </c>
      <c r="EQ134" s="26" t="s">
        <v>40</v>
      </c>
      <c r="ES134" s="26" t="s">
        <v>40</v>
      </c>
      <c r="EU134" s="26" t="s">
        <v>40</v>
      </c>
      <c r="EW134" s="26" t="s">
        <v>40</v>
      </c>
      <c r="EY134" s="26" t="s">
        <v>40</v>
      </c>
      <c r="FA134" s="26" t="s">
        <v>40</v>
      </c>
      <c r="FC134" s="26" t="s">
        <v>40</v>
      </c>
      <c r="FE134" s="26" t="s">
        <v>40</v>
      </c>
      <c r="FG134" s="26" t="s">
        <v>40</v>
      </c>
      <c r="FI134" s="26" t="s">
        <v>40</v>
      </c>
      <c r="FK134" s="26" t="s">
        <v>40</v>
      </c>
      <c r="FM134" s="26" t="s">
        <v>40</v>
      </c>
      <c r="FO134" s="26" t="s">
        <v>40</v>
      </c>
      <c r="FQ134" s="26" t="s">
        <v>40</v>
      </c>
      <c r="FS134" s="26" t="s">
        <v>40</v>
      </c>
      <c r="FU134" s="26" t="s">
        <v>40</v>
      </c>
      <c r="FW134" s="26" t="s">
        <v>40</v>
      </c>
      <c r="FY134" s="26" t="s">
        <v>40</v>
      </c>
      <c r="GA134" s="26" t="s">
        <v>40</v>
      </c>
      <c r="GC134" s="26" t="s">
        <v>40</v>
      </c>
      <c r="GE134" s="26" t="s">
        <v>40</v>
      </c>
      <c r="GG134" s="26" t="s">
        <v>40</v>
      </c>
      <c r="GI134" s="26" t="s">
        <v>40</v>
      </c>
      <c r="GK134" s="26" t="s">
        <v>40</v>
      </c>
      <c r="GM134" s="26" t="s">
        <v>40</v>
      </c>
      <c r="GO134" s="26" t="s">
        <v>40</v>
      </c>
      <c r="GQ134" s="26" t="s">
        <v>40</v>
      </c>
      <c r="GS134" s="26" t="s">
        <v>40</v>
      </c>
      <c r="GU134" s="26" t="s">
        <v>40</v>
      </c>
      <c r="GW134" s="26" t="s">
        <v>40</v>
      </c>
      <c r="GY134" s="26" t="s">
        <v>40</v>
      </c>
      <c r="HA134" s="26" t="s">
        <v>40</v>
      </c>
      <c r="HC134" s="26" t="s">
        <v>40</v>
      </c>
    </row>
    <row r="135" spans="79:211" x14ac:dyDescent="0.2">
      <c r="CE135" s="10" t="s">
        <v>40</v>
      </c>
      <c r="CG135" s="10" t="s">
        <v>40</v>
      </c>
      <c r="CI135" s="10" t="s">
        <v>40</v>
      </c>
      <c r="CK135" s="10" t="s">
        <v>40</v>
      </c>
      <c r="CM135" s="10" t="s">
        <v>40</v>
      </c>
      <c r="CO135" s="10" t="s">
        <v>40</v>
      </c>
      <c r="CQ135" s="10" t="s">
        <v>40</v>
      </c>
      <c r="CS135" s="10" t="s">
        <v>40</v>
      </c>
      <c r="CU135" s="10" t="s">
        <v>40</v>
      </c>
      <c r="CW135" s="10" t="s">
        <v>40</v>
      </c>
      <c r="CY135" s="10" t="s">
        <v>40</v>
      </c>
      <c r="DA135" s="10" t="s">
        <v>40</v>
      </c>
      <c r="DC135" s="10" t="s">
        <v>40</v>
      </c>
      <c r="DE135" s="10" t="s">
        <v>40</v>
      </c>
      <c r="DG135" s="10" t="s">
        <v>40</v>
      </c>
      <c r="DI135" s="10" t="s">
        <v>40</v>
      </c>
      <c r="DK135" s="10" t="s">
        <v>40</v>
      </c>
      <c r="DM135" s="10" t="s">
        <v>40</v>
      </c>
      <c r="DO135" s="10" t="s">
        <v>40</v>
      </c>
      <c r="DQ135" s="10" t="s">
        <v>40</v>
      </c>
      <c r="DS135" s="10" t="s">
        <v>40</v>
      </c>
      <c r="DU135" s="10" t="s">
        <v>40</v>
      </c>
      <c r="DW135" s="10" t="s">
        <v>40</v>
      </c>
      <c r="DY135" s="10" t="s">
        <v>40</v>
      </c>
      <c r="EA135" s="10" t="s">
        <v>40</v>
      </c>
      <c r="EC135" s="10" t="s">
        <v>40</v>
      </c>
      <c r="EE135" s="10" t="s">
        <v>40</v>
      </c>
      <c r="EG135" s="10" t="s">
        <v>40</v>
      </c>
      <c r="EI135" s="10" t="s">
        <v>40</v>
      </c>
      <c r="EK135" s="10" t="s">
        <v>40</v>
      </c>
      <c r="EM135" s="10" t="s">
        <v>40</v>
      </c>
      <c r="EO135" s="10" t="s">
        <v>40</v>
      </c>
      <c r="EQ135" s="10" t="s">
        <v>40</v>
      </c>
      <c r="ES135" s="10" t="s">
        <v>40</v>
      </c>
      <c r="EU135" s="10" t="s">
        <v>40</v>
      </c>
      <c r="EW135" s="10" t="s">
        <v>40</v>
      </c>
      <c r="EY135" s="10" t="s">
        <v>40</v>
      </c>
      <c r="FA135" s="10" t="s">
        <v>40</v>
      </c>
      <c r="FC135" s="10" t="s">
        <v>40</v>
      </c>
      <c r="FE135" s="10" t="s">
        <v>40</v>
      </c>
      <c r="FG135" s="10" t="s">
        <v>40</v>
      </c>
      <c r="FI135" s="10" t="s">
        <v>40</v>
      </c>
      <c r="FK135" s="10" t="s">
        <v>40</v>
      </c>
      <c r="FM135" s="10" t="s">
        <v>40</v>
      </c>
      <c r="FO135" s="10" t="s">
        <v>40</v>
      </c>
      <c r="FQ135" s="10" t="s">
        <v>40</v>
      </c>
      <c r="FS135" s="10" t="s">
        <v>40</v>
      </c>
      <c r="FU135" s="10" t="s">
        <v>40</v>
      </c>
      <c r="FW135" s="10" t="s">
        <v>40</v>
      </c>
      <c r="FY135" s="10" t="s">
        <v>40</v>
      </c>
      <c r="GA135" s="10" t="s">
        <v>40</v>
      </c>
      <c r="GC135" s="10" t="s">
        <v>40</v>
      </c>
      <c r="GE135" s="10" t="s">
        <v>40</v>
      </c>
      <c r="GG135" s="10" t="s">
        <v>40</v>
      </c>
      <c r="GI135" s="10" t="s">
        <v>40</v>
      </c>
      <c r="GK135" s="10" t="s">
        <v>40</v>
      </c>
      <c r="GM135" s="10" t="s">
        <v>40</v>
      </c>
      <c r="GO135" s="10" t="s">
        <v>40</v>
      </c>
      <c r="GQ135" s="10" t="s">
        <v>40</v>
      </c>
      <c r="GS135" s="10" t="s">
        <v>40</v>
      </c>
      <c r="GU135" s="10" t="s">
        <v>40</v>
      </c>
      <c r="GW135" s="10" t="s">
        <v>40</v>
      </c>
      <c r="GY135" s="10" t="s">
        <v>40</v>
      </c>
      <c r="HA135" s="10" t="s">
        <v>40</v>
      </c>
      <c r="HC135" s="10" t="s">
        <v>40</v>
      </c>
    </row>
    <row r="137" spans="79:211" x14ac:dyDescent="0.2">
      <c r="CG137" s="26" t="s">
        <v>40</v>
      </c>
      <c r="CI137" s="26" t="s">
        <v>40</v>
      </c>
      <c r="CK137" s="26" t="s">
        <v>40</v>
      </c>
      <c r="CM137" s="26" t="s">
        <v>40</v>
      </c>
      <c r="CO137" s="26" t="s">
        <v>40</v>
      </c>
      <c r="CQ137" s="26" t="s">
        <v>40</v>
      </c>
      <c r="CS137" s="26" t="s">
        <v>40</v>
      </c>
      <c r="CU137" s="26" t="s">
        <v>40</v>
      </c>
      <c r="CW137" s="26" t="s">
        <v>40</v>
      </c>
      <c r="CY137" s="26" t="s">
        <v>40</v>
      </c>
      <c r="DA137" s="26" t="s">
        <v>40</v>
      </c>
      <c r="DC137" s="26" t="s">
        <v>40</v>
      </c>
      <c r="DE137" s="26" t="s">
        <v>40</v>
      </c>
      <c r="DG137" s="26" t="s">
        <v>40</v>
      </c>
      <c r="DI137" s="26" t="s">
        <v>40</v>
      </c>
      <c r="DK137" s="26" t="s">
        <v>40</v>
      </c>
      <c r="DM137" s="26" t="s">
        <v>40</v>
      </c>
      <c r="DO137" s="26" t="s">
        <v>40</v>
      </c>
      <c r="DQ137" s="26" t="s">
        <v>40</v>
      </c>
      <c r="DS137" s="26" t="s">
        <v>40</v>
      </c>
      <c r="DU137" s="26" t="s">
        <v>40</v>
      </c>
      <c r="DW137" s="26" t="s">
        <v>40</v>
      </c>
      <c r="DY137" s="26" t="s">
        <v>40</v>
      </c>
      <c r="EA137" s="26" t="s">
        <v>40</v>
      </c>
      <c r="EC137" s="26" t="s">
        <v>40</v>
      </c>
      <c r="EE137" s="26" t="s">
        <v>40</v>
      </c>
      <c r="EG137" s="26" t="s">
        <v>40</v>
      </c>
      <c r="EI137" s="26" t="s">
        <v>40</v>
      </c>
      <c r="EK137" s="26" t="s">
        <v>40</v>
      </c>
      <c r="EM137" s="26" t="s">
        <v>40</v>
      </c>
      <c r="EO137" s="26" t="s">
        <v>40</v>
      </c>
      <c r="EQ137" s="26" t="s">
        <v>40</v>
      </c>
      <c r="ES137" s="26" t="s">
        <v>40</v>
      </c>
      <c r="EU137" s="26" t="s">
        <v>40</v>
      </c>
      <c r="EW137" s="26" t="s">
        <v>40</v>
      </c>
      <c r="EY137" s="26" t="s">
        <v>40</v>
      </c>
      <c r="FA137" s="26" t="s">
        <v>40</v>
      </c>
      <c r="FC137" s="26" t="s">
        <v>40</v>
      </c>
      <c r="FE137" s="26" t="s">
        <v>40</v>
      </c>
      <c r="FG137" s="26" t="s">
        <v>40</v>
      </c>
      <c r="FI137" s="26" t="s">
        <v>40</v>
      </c>
      <c r="FK137" s="26" t="s">
        <v>40</v>
      </c>
      <c r="FM137" s="26" t="s">
        <v>40</v>
      </c>
      <c r="FO137" s="26" t="s">
        <v>40</v>
      </c>
      <c r="FQ137" s="26" t="s">
        <v>40</v>
      </c>
      <c r="FS137" s="26" t="s">
        <v>40</v>
      </c>
      <c r="FU137" s="26" t="s">
        <v>40</v>
      </c>
      <c r="FW137" s="26" t="s">
        <v>40</v>
      </c>
      <c r="FY137" s="26" t="s">
        <v>40</v>
      </c>
      <c r="GA137" s="26" t="s">
        <v>40</v>
      </c>
      <c r="GC137" s="26" t="s">
        <v>40</v>
      </c>
      <c r="GE137" s="26" t="s">
        <v>40</v>
      </c>
      <c r="GG137" s="26" t="s">
        <v>40</v>
      </c>
      <c r="GI137" s="26" t="s">
        <v>40</v>
      </c>
      <c r="GK137" s="26" t="s">
        <v>40</v>
      </c>
      <c r="GM137" s="26" t="s">
        <v>40</v>
      </c>
      <c r="GO137" s="26" t="s">
        <v>40</v>
      </c>
      <c r="GQ137" s="26" t="s">
        <v>40</v>
      </c>
      <c r="GS137" s="26" t="s">
        <v>40</v>
      </c>
      <c r="GU137" s="26" t="s">
        <v>40</v>
      </c>
      <c r="GW137" s="26" t="s">
        <v>40</v>
      </c>
      <c r="GY137" s="26" t="s">
        <v>40</v>
      </c>
      <c r="HA137" s="26" t="s">
        <v>40</v>
      </c>
      <c r="HC137" s="26" t="s">
        <v>40</v>
      </c>
    </row>
    <row r="138" spans="79:211" x14ac:dyDescent="0.2">
      <c r="CG138" s="10" t="s">
        <v>40</v>
      </c>
      <c r="CI138" s="10" t="s">
        <v>40</v>
      </c>
      <c r="CK138" s="10" t="s">
        <v>40</v>
      </c>
      <c r="CM138" s="10" t="s">
        <v>40</v>
      </c>
      <c r="CO138" s="10" t="s">
        <v>40</v>
      </c>
      <c r="CQ138" s="10" t="s">
        <v>40</v>
      </c>
      <c r="CS138" s="10" t="s">
        <v>40</v>
      </c>
      <c r="CU138" s="10" t="s">
        <v>40</v>
      </c>
      <c r="CW138" s="10" t="s">
        <v>40</v>
      </c>
      <c r="CY138" s="10" t="s">
        <v>40</v>
      </c>
      <c r="DA138" s="10" t="s">
        <v>40</v>
      </c>
      <c r="DC138" s="10" t="s">
        <v>40</v>
      </c>
      <c r="DE138" s="10" t="s">
        <v>40</v>
      </c>
      <c r="DG138" s="10" t="s">
        <v>40</v>
      </c>
      <c r="DI138" s="10" t="s">
        <v>40</v>
      </c>
      <c r="DK138" s="10" t="s">
        <v>40</v>
      </c>
      <c r="DM138" s="10" t="s">
        <v>40</v>
      </c>
      <c r="DO138" s="10" t="s">
        <v>40</v>
      </c>
      <c r="DQ138" s="10" t="s">
        <v>40</v>
      </c>
      <c r="DS138" s="10" t="s">
        <v>40</v>
      </c>
      <c r="DU138" s="10" t="s">
        <v>40</v>
      </c>
      <c r="DW138" s="10" t="s">
        <v>40</v>
      </c>
      <c r="DY138" s="10" t="s">
        <v>40</v>
      </c>
      <c r="EA138" s="10" t="s">
        <v>40</v>
      </c>
      <c r="EC138" s="10" t="s">
        <v>40</v>
      </c>
      <c r="EE138" s="10" t="s">
        <v>40</v>
      </c>
      <c r="EG138" s="10" t="s">
        <v>40</v>
      </c>
      <c r="EI138" s="10" t="s">
        <v>40</v>
      </c>
      <c r="EK138" s="10" t="s">
        <v>40</v>
      </c>
      <c r="EM138" s="10" t="s">
        <v>40</v>
      </c>
      <c r="EO138" s="10" t="s">
        <v>40</v>
      </c>
      <c r="EQ138" s="10" t="s">
        <v>40</v>
      </c>
      <c r="ES138" s="10" t="s">
        <v>40</v>
      </c>
      <c r="EU138" s="10" t="s">
        <v>40</v>
      </c>
      <c r="EW138" s="10" t="s">
        <v>40</v>
      </c>
      <c r="EY138" s="10" t="s">
        <v>40</v>
      </c>
      <c r="FA138" s="10" t="s">
        <v>40</v>
      </c>
      <c r="FC138" s="10" t="s">
        <v>40</v>
      </c>
      <c r="FE138" s="10" t="s">
        <v>40</v>
      </c>
      <c r="FG138" s="10" t="s">
        <v>40</v>
      </c>
      <c r="FI138" s="10" t="s">
        <v>40</v>
      </c>
      <c r="FK138" s="10" t="s">
        <v>40</v>
      </c>
      <c r="FM138" s="10" t="s">
        <v>40</v>
      </c>
      <c r="FO138" s="10" t="s">
        <v>40</v>
      </c>
      <c r="FQ138" s="10" t="s">
        <v>40</v>
      </c>
      <c r="FS138" s="10" t="s">
        <v>40</v>
      </c>
      <c r="FU138" s="10" t="s">
        <v>40</v>
      </c>
      <c r="FW138" s="10" t="s">
        <v>40</v>
      </c>
      <c r="FY138" s="10" t="s">
        <v>40</v>
      </c>
      <c r="GA138" s="10" t="s">
        <v>40</v>
      </c>
      <c r="GC138" s="10" t="s">
        <v>40</v>
      </c>
      <c r="GE138" s="10" t="s">
        <v>40</v>
      </c>
      <c r="GG138" s="10" t="s">
        <v>40</v>
      </c>
      <c r="GI138" s="10" t="s">
        <v>40</v>
      </c>
      <c r="GK138" s="10" t="s">
        <v>40</v>
      </c>
      <c r="GM138" s="10" t="s">
        <v>40</v>
      </c>
      <c r="GO138" s="10" t="s">
        <v>40</v>
      </c>
      <c r="GQ138" s="10" t="s">
        <v>40</v>
      </c>
      <c r="GS138" s="10" t="s">
        <v>40</v>
      </c>
      <c r="GU138" s="10" t="s">
        <v>40</v>
      </c>
      <c r="GW138" s="10" t="s">
        <v>40</v>
      </c>
      <c r="GY138" s="10" t="s">
        <v>40</v>
      </c>
      <c r="HA138" s="10" t="s">
        <v>40</v>
      </c>
      <c r="HC138" s="10" t="s">
        <v>40</v>
      </c>
    </row>
    <row r="140" spans="79:211" x14ac:dyDescent="0.2">
      <c r="CI140" s="26" t="s">
        <v>40</v>
      </c>
      <c r="CK140" s="26" t="s">
        <v>40</v>
      </c>
      <c r="CM140" s="26" t="s">
        <v>40</v>
      </c>
      <c r="CO140" s="26" t="s">
        <v>40</v>
      </c>
      <c r="CQ140" s="26" t="s">
        <v>40</v>
      </c>
      <c r="CS140" s="26" t="s">
        <v>40</v>
      </c>
      <c r="CU140" s="26" t="s">
        <v>40</v>
      </c>
      <c r="CW140" s="26" t="s">
        <v>40</v>
      </c>
      <c r="CY140" s="26" t="s">
        <v>40</v>
      </c>
      <c r="DA140" s="26" t="s">
        <v>40</v>
      </c>
      <c r="DC140" s="26" t="s">
        <v>40</v>
      </c>
      <c r="DE140" s="26" t="s">
        <v>40</v>
      </c>
      <c r="DG140" s="26" t="s">
        <v>40</v>
      </c>
      <c r="DI140" s="26" t="s">
        <v>40</v>
      </c>
      <c r="DK140" s="26" t="s">
        <v>40</v>
      </c>
      <c r="DM140" s="26" t="s">
        <v>40</v>
      </c>
      <c r="DO140" s="26" t="s">
        <v>40</v>
      </c>
      <c r="DQ140" s="26" t="s">
        <v>40</v>
      </c>
      <c r="DS140" s="26" t="s">
        <v>40</v>
      </c>
      <c r="DU140" s="26" t="s">
        <v>40</v>
      </c>
      <c r="DW140" s="26" t="s">
        <v>40</v>
      </c>
      <c r="DY140" s="26" t="s">
        <v>40</v>
      </c>
      <c r="EA140" s="26" t="s">
        <v>40</v>
      </c>
      <c r="EC140" s="26" t="s">
        <v>40</v>
      </c>
      <c r="EE140" s="26" t="s">
        <v>40</v>
      </c>
      <c r="EG140" s="26" t="s">
        <v>40</v>
      </c>
      <c r="EI140" s="26" t="s">
        <v>40</v>
      </c>
      <c r="EK140" s="26" t="s">
        <v>40</v>
      </c>
      <c r="EM140" s="26" t="s">
        <v>40</v>
      </c>
      <c r="EO140" s="26" t="s">
        <v>40</v>
      </c>
      <c r="EQ140" s="26" t="s">
        <v>40</v>
      </c>
      <c r="ES140" s="26" t="s">
        <v>40</v>
      </c>
      <c r="EU140" s="26" t="s">
        <v>40</v>
      </c>
      <c r="EW140" s="26" t="s">
        <v>40</v>
      </c>
      <c r="EY140" s="26" t="s">
        <v>40</v>
      </c>
      <c r="FA140" s="26" t="s">
        <v>40</v>
      </c>
      <c r="FC140" s="26" t="s">
        <v>40</v>
      </c>
      <c r="FE140" s="26" t="s">
        <v>40</v>
      </c>
      <c r="FG140" s="26" t="s">
        <v>40</v>
      </c>
      <c r="FI140" s="26" t="s">
        <v>40</v>
      </c>
      <c r="FK140" s="26" t="s">
        <v>40</v>
      </c>
      <c r="FM140" s="26" t="s">
        <v>40</v>
      </c>
      <c r="FO140" s="26" t="s">
        <v>40</v>
      </c>
      <c r="FQ140" s="26" t="s">
        <v>40</v>
      </c>
      <c r="FS140" s="26" t="s">
        <v>40</v>
      </c>
      <c r="FU140" s="26" t="s">
        <v>40</v>
      </c>
      <c r="FW140" s="26" t="s">
        <v>40</v>
      </c>
      <c r="FY140" s="26" t="s">
        <v>40</v>
      </c>
      <c r="GA140" s="26" t="s">
        <v>40</v>
      </c>
      <c r="GC140" s="26" t="s">
        <v>40</v>
      </c>
      <c r="GE140" s="26" t="s">
        <v>40</v>
      </c>
      <c r="GG140" s="26" t="s">
        <v>40</v>
      </c>
      <c r="GI140" s="26" t="s">
        <v>40</v>
      </c>
      <c r="GK140" s="26" t="s">
        <v>40</v>
      </c>
      <c r="GM140" s="26" t="s">
        <v>40</v>
      </c>
      <c r="GO140" s="26" t="s">
        <v>40</v>
      </c>
      <c r="GQ140" s="26" t="s">
        <v>40</v>
      </c>
      <c r="GS140" s="26" t="s">
        <v>40</v>
      </c>
      <c r="GU140" s="26" t="s">
        <v>40</v>
      </c>
      <c r="GW140" s="26" t="s">
        <v>40</v>
      </c>
      <c r="GY140" s="26" t="s">
        <v>40</v>
      </c>
      <c r="HA140" s="26" t="s">
        <v>40</v>
      </c>
      <c r="HC140" s="26" t="s">
        <v>40</v>
      </c>
    </row>
    <row r="141" spans="79:211" x14ac:dyDescent="0.2">
      <c r="CI141" s="10" t="s">
        <v>40</v>
      </c>
      <c r="CK141" s="10" t="s">
        <v>40</v>
      </c>
      <c r="CM141" s="10" t="s">
        <v>40</v>
      </c>
      <c r="CO141" s="10" t="s">
        <v>40</v>
      </c>
      <c r="CQ141" s="10" t="s">
        <v>40</v>
      </c>
      <c r="CS141" s="10" t="s">
        <v>40</v>
      </c>
      <c r="CU141" s="10" t="s">
        <v>40</v>
      </c>
      <c r="CW141" s="10" t="s">
        <v>40</v>
      </c>
      <c r="CY141" s="10" t="s">
        <v>40</v>
      </c>
      <c r="DA141" s="10" t="s">
        <v>40</v>
      </c>
      <c r="DC141" s="10" t="s">
        <v>40</v>
      </c>
      <c r="DE141" s="10" t="s">
        <v>40</v>
      </c>
      <c r="DG141" s="10" t="s">
        <v>40</v>
      </c>
      <c r="DI141" s="10" t="s">
        <v>40</v>
      </c>
      <c r="DK141" s="10" t="s">
        <v>40</v>
      </c>
      <c r="DM141" s="10" t="s">
        <v>40</v>
      </c>
      <c r="DO141" s="10" t="s">
        <v>40</v>
      </c>
      <c r="DQ141" s="10" t="s">
        <v>40</v>
      </c>
      <c r="DS141" s="10" t="s">
        <v>40</v>
      </c>
      <c r="DU141" s="10" t="s">
        <v>40</v>
      </c>
      <c r="DW141" s="10" t="s">
        <v>40</v>
      </c>
      <c r="DY141" s="10" t="s">
        <v>40</v>
      </c>
      <c r="EA141" s="10" t="s">
        <v>40</v>
      </c>
      <c r="EC141" s="10" t="s">
        <v>40</v>
      </c>
      <c r="EE141" s="10" t="s">
        <v>40</v>
      </c>
      <c r="EG141" s="10" t="s">
        <v>40</v>
      </c>
      <c r="EI141" s="10" t="s">
        <v>40</v>
      </c>
      <c r="EK141" s="10" t="s">
        <v>40</v>
      </c>
      <c r="EM141" s="10" t="s">
        <v>40</v>
      </c>
      <c r="EO141" s="10" t="s">
        <v>40</v>
      </c>
      <c r="EQ141" s="10" t="s">
        <v>40</v>
      </c>
      <c r="ES141" s="10" t="s">
        <v>40</v>
      </c>
      <c r="EU141" s="10" t="s">
        <v>40</v>
      </c>
      <c r="EW141" s="10" t="s">
        <v>40</v>
      </c>
      <c r="EY141" s="10" t="s">
        <v>40</v>
      </c>
      <c r="FA141" s="10" t="s">
        <v>40</v>
      </c>
      <c r="FC141" s="10" t="s">
        <v>40</v>
      </c>
      <c r="FE141" s="10" t="s">
        <v>40</v>
      </c>
      <c r="FG141" s="10" t="s">
        <v>40</v>
      </c>
      <c r="FI141" s="10" t="s">
        <v>40</v>
      </c>
      <c r="FK141" s="10" t="s">
        <v>40</v>
      </c>
      <c r="FM141" s="10" t="s">
        <v>40</v>
      </c>
      <c r="FO141" s="10" t="s">
        <v>40</v>
      </c>
      <c r="FQ141" s="10" t="s">
        <v>40</v>
      </c>
      <c r="FS141" s="10" t="s">
        <v>40</v>
      </c>
      <c r="FU141" s="10" t="s">
        <v>40</v>
      </c>
      <c r="FW141" s="10" t="s">
        <v>40</v>
      </c>
      <c r="FY141" s="10" t="s">
        <v>40</v>
      </c>
      <c r="GA141" s="10" t="s">
        <v>40</v>
      </c>
      <c r="GC141" s="10" t="s">
        <v>40</v>
      </c>
      <c r="GE141" s="10" t="s">
        <v>40</v>
      </c>
      <c r="GG141" s="10" t="s">
        <v>40</v>
      </c>
      <c r="GI141" s="10" t="s">
        <v>40</v>
      </c>
      <c r="GK141" s="10" t="s">
        <v>40</v>
      </c>
      <c r="GM141" s="10" t="s">
        <v>40</v>
      </c>
      <c r="GO141" s="10" t="s">
        <v>40</v>
      </c>
      <c r="GQ141" s="10" t="s">
        <v>40</v>
      </c>
      <c r="GS141" s="10" t="s">
        <v>40</v>
      </c>
      <c r="GU141" s="10" t="s">
        <v>40</v>
      </c>
      <c r="GW141" s="10" t="s">
        <v>40</v>
      </c>
      <c r="GY141" s="10" t="s">
        <v>40</v>
      </c>
      <c r="HA141" s="10" t="s">
        <v>40</v>
      </c>
      <c r="HC141" s="10" t="s">
        <v>40</v>
      </c>
    </row>
    <row r="143" spans="79:211" x14ac:dyDescent="0.2">
      <c r="CK143" s="26" t="s">
        <v>40</v>
      </c>
      <c r="CM143" s="26" t="s">
        <v>40</v>
      </c>
      <c r="CO143" s="26" t="s">
        <v>40</v>
      </c>
      <c r="CQ143" s="26" t="s">
        <v>40</v>
      </c>
      <c r="CS143" s="26" t="s">
        <v>40</v>
      </c>
      <c r="CU143" s="26" t="s">
        <v>40</v>
      </c>
      <c r="CW143" s="26" t="s">
        <v>40</v>
      </c>
      <c r="CY143" s="26" t="s">
        <v>40</v>
      </c>
      <c r="DA143" s="26" t="s">
        <v>40</v>
      </c>
      <c r="DC143" s="26" t="s">
        <v>40</v>
      </c>
      <c r="DE143" s="26" t="s">
        <v>40</v>
      </c>
      <c r="DG143" s="26" t="s">
        <v>40</v>
      </c>
      <c r="DI143" s="26" t="s">
        <v>40</v>
      </c>
      <c r="DK143" s="26" t="s">
        <v>40</v>
      </c>
      <c r="DM143" s="26" t="s">
        <v>40</v>
      </c>
      <c r="DO143" s="26" t="s">
        <v>40</v>
      </c>
      <c r="DQ143" s="26" t="s">
        <v>40</v>
      </c>
      <c r="DS143" s="26" t="s">
        <v>40</v>
      </c>
      <c r="DU143" s="26" t="s">
        <v>40</v>
      </c>
      <c r="DW143" s="26" t="s">
        <v>40</v>
      </c>
      <c r="DY143" s="26" t="s">
        <v>40</v>
      </c>
      <c r="EA143" s="26" t="s">
        <v>40</v>
      </c>
      <c r="EC143" s="26" t="s">
        <v>40</v>
      </c>
      <c r="EE143" s="26" t="s">
        <v>40</v>
      </c>
      <c r="EG143" s="26" t="s">
        <v>40</v>
      </c>
      <c r="EI143" s="26" t="s">
        <v>40</v>
      </c>
      <c r="EK143" s="26" t="s">
        <v>40</v>
      </c>
      <c r="EM143" s="26" t="s">
        <v>40</v>
      </c>
      <c r="EO143" s="26" t="s">
        <v>40</v>
      </c>
      <c r="EQ143" s="26" t="s">
        <v>40</v>
      </c>
      <c r="ES143" s="26" t="s">
        <v>40</v>
      </c>
      <c r="EU143" s="26" t="s">
        <v>40</v>
      </c>
      <c r="EW143" s="26" t="s">
        <v>40</v>
      </c>
      <c r="EY143" s="26" t="s">
        <v>40</v>
      </c>
      <c r="FA143" s="26" t="s">
        <v>40</v>
      </c>
      <c r="FC143" s="26" t="s">
        <v>40</v>
      </c>
      <c r="FE143" s="26" t="s">
        <v>40</v>
      </c>
      <c r="FG143" s="26" t="s">
        <v>40</v>
      </c>
      <c r="FI143" s="26" t="s">
        <v>40</v>
      </c>
      <c r="FK143" s="26" t="s">
        <v>40</v>
      </c>
      <c r="FM143" s="26" t="s">
        <v>40</v>
      </c>
      <c r="FO143" s="26" t="s">
        <v>40</v>
      </c>
      <c r="FQ143" s="26" t="s">
        <v>40</v>
      </c>
      <c r="FS143" s="26" t="s">
        <v>40</v>
      </c>
      <c r="FU143" s="26" t="s">
        <v>40</v>
      </c>
      <c r="FW143" s="26" t="s">
        <v>40</v>
      </c>
      <c r="FY143" s="26" t="s">
        <v>40</v>
      </c>
      <c r="GA143" s="26" t="s">
        <v>40</v>
      </c>
      <c r="GC143" s="26" t="s">
        <v>40</v>
      </c>
      <c r="GE143" s="26" t="s">
        <v>40</v>
      </c>
      <c r="GG143" s="26" t="s">
        <v>40</v>
      </c>
      <c r="GI143" s="26" t="s">
        <v>40</v>
      </c>
      <c r="GK143" s="26" t="s">
        <v>40</v>
      </c>
      <c r="GM143" s="26" t="s">
        <v>40</v>
      </c>
      <c r="GO143" s="26" t="s">
        <v>40</v>
      </c>
      <c r="GQ143" s="26" t="s">
        <v>40</v>
      </c>
      <c r="GS143" s="26" t="s">
        <v>40</v>
      </c>
      <c r="GU143" s="26" t="s">
        <v>40</v>
      </c>
      <c r="GW143" s="26" t="s">
        <v>40</v>
      </c>
      <c r="GY143" s="26" t="s">
        <v>40</v>
      </c>
      <c r="HA143" s="26" t="s">
        <v>40</v>
      </c>
      <c r="HC143" s="26" t="s">
        <v>40</v>
      </c>
    </row>
    <row r="144" spans="79:211" x14ac:dyDescent="0.2">
      <c r="CK144" s="10" t="s">
        <v>40</v>
      </c>
      <c r="CM144" s="10" t="s">
        <v>40</v>
      </c>
      <c r="CO144" s="10" t="s">
        <v>40</v>
      </c>
      <c r="CQ144" s="10" t="s">
        <v>40</v>
      </c>
      <c r="CS144" s="10" t="s">
        <v>40</v>
      </c>
      <c r="CU144" s="10" t="s">
        <v>40</v>
      </c>
      <c r="CW144" s="10" t="s">
        <v>40</v>
      </c>
      <c r="CY144" s="10" t="s">
        <v>40</v>
      </c>
      <c r="DA144" s="10" t="s">
        <v>40</v>
      </c>
      <c r="DC144" s="10" t="s">
        <v>40</v>
      </c>
      <c r="DE144" s="10" t="s">
        <v>40</v>
      </c>
      <c r="DG144" s="10" t="s">
        <v>40</v>
      </c>
      <c r="DI144" s="10" t="s">
        <v>40</v>
      </c>
      <c r="DK144" s="10" t="s">
        <v>40</v>
      </c>
      <c r="DM144" s="10" t="s">
        <v>40</v>
      </c>
      <c r="DO144" s="10" t="s">
        <v>40</v>
      </c>
      <c r="DQ144" s="10" t="s">
        <v>40</v>
      </c>
      <c r="DS144" s="10" t="s">
        <v>40</v>
      </c>
      <c r="DU144" s="10" t="s">
        <v>40</v>
      </c>
      <c r="DW144" s="10" t="s">
        <v>40</v>
      </c>
      <c r="DY144" s="10" t="s">
        <v>40</v>
      </c>
      <c r="EA144" s="10" t="s">
        <v>40</v>
      </c>
      <c r="EC144" s="10" t="s">
        <v>40</v>
      </c>
      <c r="EE144" s="10" t="s">
        <v>40</v>
      </c>
      <c r="EG144" s="10" t="s">
        <v>40</v>
      </c>
      <c r="EI144" s="10" t="s">
        <v>40</v>
      </c>
      <c r="EK144" s="10" t="s">
        <v>40</v>
      </c>
      <c r="EM144" s="10" t="s">
        <v>40</v>
      </c>
      <c r="EO144" s="10" t="s">
        <v>40</v>
      </c>
      <c r="EQ144" s="10" t="s">
        <v>40</v>
      </c>
      <c r="ES144" s="10" t="s">
        <v>40</v>
      </c>
      <c r="EU144" s="10" t="s">
        <v>40</v>
      </c>
      <c r="EW144" s="10" t="s">
        <v>40</v>
      </c>
      <c r="EY144" s="10" t="s">
        <v>40</v>
      </c>
      <c r="FA144" s="10" t="s">
        <v>40</v>
      </c>
      <c r="FC144" s="10" t="s">
        <v>40</v>
      </c>
      <c r="FE144" s="10" t="s">
        <v>40</v>
      </c>
      <c r="FG144" s="10" t="s">
        <v>40</v>
      </c>
      <c r="FI144" s="10" t="s">
        <v>40</v>
      </c>
      <c r="FK144" s="10" t="s">
        <v>40</v>
      </c>
      <c r="FM144" s="10" t="s">
        <v>40</v>
      </c>
      <c r="FO144" s="10" t="s">
        <v>40</v>
      </c>
      <c r="FQ144" s="10" t="s">
        <v>40</v>
      </c>
      <c r="FS144" s="10" t="s">
        <v>40</v>
      </c>
      <c r="FU144" s="10" t="s">
        <v>40</v>
      </c>
      <c r="FW144" s="10" t="s">
        <v>40</v>
      </c>
      <c r="FY144" s="10" t="s">
        <v>40</v>
      </c>
      <c r="GA144" s="10" t="s">
        <v>40</v>
      </c>
      <c r="GC144" s="10" t="s">
        <v>40</v>
      </c>
      <c r="GE144" s="10" t="s">
        <v>40</v>
      </c>
      <c r="GG144" s="10" t="s">
        <v>40</v>
      </c>
      <c r="GI144" s="10" t="s">
        <v>40</v>
      </c>
      <c r="GK144" s="10" t="s">
        <v>40</v>
      </c>
      <c r="GM144" s="10" t="s">
        <v>40</v>
      </c>
      <c r="GO144" s="10" t="s">
        <v>40</v>
      </c>
      <c r="GQ144" s="10" t="s">
        <v>40</v>
      </c>
      <c r="GS144" s="10" t="s">
        <v>40</v>
      </c>
      <c r="GU144" s="10" t="s">
        <v>40</v>
      </c>
      <c r="GW144" s="10" t="s">
        <v>40</v>
      </c>
      <c r="GY144" s="10" t="s">
        <v>40</v>
      </c>
      <c r="HA144" s="10" t="s">
        <v>40</v>
      </c>
      <c r="HC144" s="10" t="s">
        <v>40</v>
      </c>
    </row>
    <row r="146" spans="91:211" x14ac:dyDescent="0.2">
      <c r="CM146" s="26" t="s">
        <v>40</v>
      </c>
      <c r="CO146" s="26" t="s">
        <v>40</v>
      </c>
      <c r="CQ146" s="26" t="s">
        <v>40</v>
      </c>
      <c r="CS146" s="26" t="s">
        <v>40</v>
      </c>
      <c r="CU146" s="26" t="s">
        <v>40</v>
      </c>
      <c r="CW146" s="26" t="s">
        <v>40</v>
      </c>
      <c r="CY146" s="26" t="s">
        <v>40</v>
      </c>
      <c r="DA146" s="26" t="s">
        <v>40</v>
      </c>
      <c r="DC146" s="26" t="s">
        <v>40</v>
      </c>
      <c r="DE146" s="26" t="s">
        <v>40</v>
      </c>
      <c r="DG146" s="26" t="s">
        <v>40</v>
      </c>
      <c r="DI146" s="26" t="s">
        <v>40</v>
      </c>
      <c r="DK146" s="26" t="s">
        <v>40</v>
      </c>
      <c r="DM146" s="26" t="s">
        <v>40</v>
      </c>
      <c r="DO146" s="26" t="s">
        <v>40</v>
      </c>
      <c r="DQ146" s="26" t="s">
        <v>40</v>
      </c>
      <c r="DS146" s="26" t="s">
        <v>40</v>
      </c>
      <c r="DU146" s="26" t="s">
        <v>40</v>
      </c>
      <c r="DW146" s="26" t="s">
        <v>40</v>
      </c>
      <c r="DY146" s="26" t="s">
        <v>40</v>
      </c>
      <c r="EA146" s="26" t="s">
        <v>40</v>
      </c>
      <c r="EC146" s="26" t="s">
        <v>40</v>
      </c>
      <c r="EE146" s="26" t="s">
        <v>40</v>
      </c>
      <c r="EG146" s="26" t="s">
        <v>40</v>
      </c>
      <c r="EI146" s="26" t="s">
        <v>40</v>
      </c>
      <c r="EK146" s="26" t="s">
        <v>40</v>
      </c>
      <c r="EM146" s="26" t="s">
        <v>40</v>
      </c>
      <c r="EO146" s="26" t="s">
        <v>40</v>
      </c>
      <c r="EQ146" s="26" t="s">
        <v>40</v>
      </c>
      <c r="ES146" s="26" t="s">
        <v>40</v>
      </c>
      <c r="EU146" s="26" t="s">
        <v>40</v>
      </c>
      <c r="EW146" s="26" t="s">
        <v>40</v>
      </c>
      <c r="EY146" s="26" t="s">
        <v>40</v>
      </c>
      <c r="FA146" s="26" t="s">
        <v>40</v>
      </c>
      <c r="FC146" s="26" t="s">
        <v>40</v>
      </c>
      <c r="FE146" s="26" t="s">
        <v>40</v>
      </c>
      <c r="FG146" s="26" t="s">
        <v>40</v>
      </c>
      <c r="FI146" s="26" t="s">
        <v>40</v>
      </c>
      <c r="FK146" s="26" t="s">
        <v>40</v>
      </c>
      <c r="FM146" s="26" t="s">
        <v>40</v>
      </c>
      <c r="FO146" s="26" t="s">
        <v>40</v>
      </c>
      <c r="FQ146" s="26" t="s">
        <v>40</v>
      </c>
      <c r="FS146" s="26" t="s">
        <v>40</v>
      </c>
      <c r="FU146" s="26" t="s">
        <v>40</v>
      </c>
      <c r="FW146" s="26" t="s">
        <v>40</v>
      </c>
      <c r="FY146" s="26" t="s">
        <v>40</v>
      </c>
      <c r="GA146" s="26" t="s">
        <v>40</v>
      </c>
      <c r="GC146" s="26" t="s">
        <v>40</v>
      </c>
      <c r="GE146" s="26" t="s">
        <v>40</v>
      </c>
      <c r="GG146" s="26" t="s">
        <v>40</v>
      </c>
      <c r="GI146" s="26" t="s">
        <v>40</v>
      </c>
      <c r="GK146" s="26" t="s">
        <v>40</v>
      </c>
      <c r="GM146" s="26" t="s">
        <v>40</v>
      </c>
      <c r="GO146" s="26" t="s">
        <v>40</v>
      </c>
      <c r="GQ146" s="26" t="s">
        <v>40</v>
      </c>
      <c r="GS146" s="26" t="s">
        <v>40</v>
      </c>
      <c r="GU146" s="26" t="s">
        <v>40</v>
      </c>
      <c r="GW146" s="26" t="s">
        <v>40</v>
      </c>
      <c r="GY146" s="26" t="s">
        <v>40</v>
      </c>
      <c r="HA146" s="26" t="s">
        <v>40</v>
      </c>
      <c r="HC146" s="26" t="s">
        <v>40</v>
      </c>
    </row>
    <row r="147" spans="91:211" x14ac:dyDescent="0.2">
      <c r="CM147" s="10" t="s">
        <v>40</v>
      </c>
      <c r="CO147" s="10" t="s">
        <v>40</v>
      </c>
      <c r="CQ147" s="10" t="s">
        <v>40</v>
      </c>
      <c r="CS147" s="10" t="s">
        <v>40</v>
      </c>
      <c r="CU147" s="10" t="s">
        <v>40</v>
      </c>
      <c r="CW147" s="10" t="s">
        <v>40</v>
      </c>
      <c r="CY147" s="10" t="s">
        <v>40</v>
      </c>
      <c r="DA147" s="10" t="s">
        <v>40</v>
      </c>
      <c r="DC147" s="10" t="s">
        <v>40</v>
      </c>
      <c r="DE147" s="10" t="s">
        <v>40</v>
      </c>
      <c r="DG147" s="10" t="s">
        <v>40</v>
      </c>
      <c r="DI147" s="10" t="s">
        <v>40</v>
      </c>
      <c r="DK147" s="10" t="s">
        <v>40</v>
      </c>
      <c r="DM147" s="10" t="s">
        <v>40</v>
      </c>
      <c r="DO147" s="10" t="s">
        <v>40</v>
      </c>
      <c r="DQ147" s="10" t="s">
        <v>40</v>
      </c>
      <c r="DS147" s="10" t="s">
        <v>40</v>
      </c>
      <c r="DU147" s="10" t="s">
        <v>40</v>
      </c>
      <c r="DW147" s="10" t="s">
        <v>40</v>
      </c>
      <c r="DY147" s="10" t="s">
        <v>40</v>
      </c>
      <c r="EA147" s="10" t="s">
        <v>40</v>
      </c>
      <c r="EC147" s="10" t="s">
        <v>40</v>
      </c>
      <c r="EE147" s="10" t="s">
        <v>40</v>
      </c>
      <c r="EG147" s="10" t="s">
        <v>40</v>
      </c>
      <c r="EI147" s="10" t="s">
        <v>40</v>
      </c>
      <c r="EK147" s="10" t="s">
        <v>40</v>
      </c>
      <c r="EM147" s="10" t="s">
        <v>40</v>
      </c>
      <c r="EO147" s="10" t="s">
        <v>40</v>
      </c>
      <c r="EQ147" s="10" t="s">
        <v>40</v>
      </c>
      <c r="ES147" s="10" t="s">
        <v>40</v>
      </c>
      <c r="EU147" s="10" t="s">
        <v>40</v>
      </c>
      <c r="EW147" s="10" t="s">
        <v>40</v>
      </c>
      <c r="EY147" s="10" t="s">
        <v>40</v>
      </c>
      <c r="FA147" s="10" t="s">
        <v>40</v>
      </c>
      <c r="FC147" s="10" t="s">
        <v>40</v>
      </c>
      <c r="FE147" s="10" t="s">
        <v>40</v>
      </c>
      <c r="FG147" s="10" t="s">
        <v>40</v>
      </c>
      <c r="FI147" s="10" t="s">
        <v>40</v>
      </c>
      <c r="FK147" s="10" t="s">
        <v>40</v>
      </c>
      <c r="FM147" s="10" t="s">
        <v>40</v>
      </c>
      <c r="FO147" s="10" t="s">
        <v>40</v>
      </c>
      <c r="FQ147" s="10" t="s">
        <v>40</v>
      </c>
      <c r="FS147" s="10" t="s">
        <v>40</v>
      </c>
      <c r="FU147" s="10" t="s">
        <v>40</v>
      </c>
      <c r="FW147" s="10" t="s">
        <v>40</v>
      </c>
      <c r="FY147" s="10" t="s">
        <v>40</v>
      </c>
      <c r="GA147" s="10" t="s">
        <v>40</v>
      </c>
      <c r="GC147" s="10" t="s">
        <v>40</v>
      </c>
      <c r="GE147" s="10" t="s">
        <v>40</v>
      </c>
      <c r="GG147" s="10" t="s">
        <v>40</v>
      </c>
      <c r="GI147" s="10" t="s">
        <v>40</v>
      </c>
      <c r="GK147" s="10" t="s">
        <v>40</v>
      </c>
      <c r="GM147" s="10" t="s">
        <v>40</v>
      </c>
      <c r="GO147" s="10" t="s">
        <v>40</v>
      </c>
      <c r="GQ147" s="10" t="s">
        <v>40</v>
      </c>
      <c r="GS147" s="10" t="s">
        <v>40</v>
      </c>
      <c r="GU147" s="10" t="s">
        <v>40</v>
      </c>
      <c r="GW147" s="10" t="s">
        <v>40</v>
      </c>
      <c r="GY147" s="10" t="s">
        <v>40</v>
      </c>
      <c r="HA147" s="10" t="s">
        <v>40</v>
      </c>
      <c r="HC147" s="10" t="s">
        <v>40</v>
      </c>
    </row>
    <row r="149" spans="91:211" x14ac:dyDescent="0.2">
      <c r="CO149" s="26" t="s">
        <v>40</v>
      </c>
      <c r="CQ149" s="26" t="s">
        <v>40</v>
      </c>
      <c r="CS149" s="26" t="s">
        <v>40</v>
      </c>
      <c r="CU149" s="26" t="s">
        <v>40</v>
      </c>
      <c r="CW149" s="26" t="s">
        <v>40</v>
      </c>
      <c r="CY149" s="26" t="s">
        <v>40</v>
      </c>
      <c r="DA149" s="26" t="s">
        <v>40</v>
      </c>
      <c r="DC149" s="26" t="s">
        <v>40</v>
      </c>
      <c r="DE149" s="26" t="s">
        <v>40</v>
      </c>
      <c r="DG149" s="26" t="s">
        <v>40</v>
      </c>
      <c r="DI149" s="26" t="s">
        <v>40</v>
      </c>
      <c r="DK149" s="26" t="s">
        <v>40</v>
      </c>
      <c r="DM149" s="26" t="s">
        <v>40</v>
      </c>
      <c r="DO149" s="26" t="s">
        <v>40</v>
      </c>
      <c r="DQ149" s="26" t="s">
        <v>40</v>
      </c>
      <c r="DS149" s="26" t="s">
        <v>40</v>
      </c>
      <c r="DU149" s="26" t="s">
        <v>40</v>
      </c>
      <c r="DW149" s="26" t="s">
        <v>40</v>
      </c>
      <c r="DY149" s="26" t="s">
        <v>40</v>
      </c>
      <c r="EA149" s="26" t="s">
        <v>40</v>
      </c>
      <c r="EC149" s="26" t="s">
        <v>40</v>
      </c>
      <c r="EE149" s="26" t="s">
        <v>40</v>
      </c>
      <c r="EG149" s="26" t="s">
        <v>40</v>
      </c>
      <c r="EI149" s="26" t="s">
        <v>40</v>
      </c>
      <c r="EK149" s="26" t="s">
        <v>40</v>
      </c>
      <c r="EM149" s="26" t="s">
        <v>40</v>
      </c>
      <c r="EO149" s="26" t="s">
        <v>40</v>
      </c>
      <c r="EQ149" s="26" t="s">
        <v>40</v>
      </c>
      <c r="ES149" s="26" t="s">
        <v>40</v>
      </c>
      <c r="EU149" s="26" t="s">
        <v>40</v>
      </c>
      <c r="EW149" s="26" t="s">
        <v>40</v>
      </c>
      <c r="EY149" s="26" t="s">
        <v>40</v>
      </c>
      <c r="FA149" s="26" t="s">
        <v>40</v>
      </c>
      <c r="FC149" s="26" t="s">
        <v>40</v>
      </c>
      <c r="FE149" s="26" t="s">
        <v>40</v>
      </c>
      <c r="FG149" s="26" t="s">
        <v>40</v>
      </c>
      <c r="FI149" s="26" t="s">
        <v>40</v>
      </c>
      <c r="FK149" s="26" t="s">
        <v>40</v>
      </c>
      <c r="FM149" s="26" t="s">
        <v>40</v>
      </c>
      <c r="FO149" s="26" t="s">
        <v>40</v>
      </c>
      <c r="FQ149" s="26" t="s">
        <v>40</v>
      </c>
      <c r="FS149" s="26" t="s">
        <v>40</v>
      </c>
      <c r="FU149" s="26" t="s">
        <v>40</v>
      </c>
      <c r="FW149" s="26" t="s">
        <v>40</v>
      </c>
      <c r="FY149" s="26" t="s">
        <v>40</v>
      </c>
      <c r="GA149" s="26" t="s">
        <v>40</v>
      </c>
      <c r="GC149" s="26" t="s">
        <v>40</v>
      </c>
      <c r="GE149" s="26" t="s">
        <v>40</v>
      </c>
      <c r="GG149" s="26" t="s">
        <v>40</v>
      </c>
      <c r="GI149" s="26" t="s">
        <v>40</v>
      </c>
      <c r="GK149" s="26" t="s">
        <v>40</v>
      </c>
      <c r="GM149" s="26" t="s">
        <v>40</v>
      </c>
      <c r="GO149" s="26" t="s">
        <v>40</v>
      </c>
      <c r="GQ149" s="26" t="s">
        <v>40</v>
      </c>
      <c r="GS149" s="26" t="s">
        <v>40</v>
      </c>
      <c r="GU149" s="26" t="s">
        <v>40</v>
      </c>
      <c r="GW149" s="26" t="s">
        <v>40</v>
      </c>
      <c r="GY149" s="26" t="s">
        <v>40</v>
      </c>
      <c r="HA149" s="26" t="s">
        <v>40</v>
      </c>
      <c r="HC149" s="26" t="s">
        <v>40</v>
      </c>
    </row>
    <row r="150" spans="91:211" x14ac:dyDescent="0.2">
      <c r="CO150" s="10" t="s">
        <v>40</v>
      </c>
      <c r="CQ150" s="10" t="s">
        <v>40</v>
      </c>
      <c r="CS150" s="10" t="s">
        <v>40</v>
      </c>
      <c r="CU150" s="10" t="s">
        <v>40</v>
      </c>
      <c r="CW150" s="10" t="s">
        <v>40</v>
      </c>
      <c r="CY150" s="10" t="s">
        <v>40</v>
      </c>
      <c r="DA150" s="10" t="s">
        <v>40</v>
      </c>
      <c r="DC150" s="10" t="s">
        <v>40</v>
      </c>
      <c r="DE150" s="10" t="s">
        <v>40</v>
      </c>
      <c r="DG150" s="10" t="s">
        <v>40</v>
      </c>
      <c r="DI150" s="10" t="s">
        <v>40</v>
      </c>
      <c r="DK150" s="10" t="s">
        <v>40</v>
      </c>
      <c r="DM150" s="10" t="s">
        <v>40</v>
      </c>
      <c r="DO150" s="10" t="s">
        <v>40</v>
      </c>
      <c r="DQ150" s="10" t="s">
        <v>40</v>
      </c>
      <c r="DS150" s="10" t="s">
        <v>40</v>
      </c>
      <c r="DU150" s="10" t="s">
        <v>40</v>
      </c>
      <c r="DW150" s="10" t="s">
        <v>40</v>
      </c>
      <c r="DY150" s="10" t="s">
        <v>40</v>
      </c>
      <c r="EA150" s="10" t="s">
        <v>40</v>
      </c>
      <c r="EC150" s="10" t="s">
        <v>40</v>
      </c>
      <c r="EE150" s="10" t="s">
        <v>40</v>
      </c>
      <c r="EG150" s="10" t="s">
        <v>40</v>
      </c>
      <c r="EI150" s="10" t="s">
        <v>40</v>
      </c>
      <c r="EK150" s="10" t="s">
        <v>40</v>
      </c>
      <c r="EM150" s="10" t="s">
        <v>40</v>
      </c>
      <c r="EO150" s="10" t="s">
        <v>40</v>
      </c>
      <c r="EQ150" s="10" t="s">
        <v>40</v>
      </c>
      <c r="ES150" s="10" t="s">
        <v>40</v>
      </c>
      <c r="EU150" s="10" t="s">
        <v>40</v>
      </c>
      <c r="EW150" s="10" t="s">
        <v>40</v>
      </c>
      <c r="EY150" s="10" t="s">
        <v>40</v>
      </c>
      <c r="FA150" s="10" t="s">
        <v>40</v>
      </c>
      <c r="FC150" s="10" t="s">
        <v>40</v>
      </c>
      <c r="FE150" s="10" t="s">
        <v>40</v>
      </c>
      <c r="FG150" s="10" t="s">
        <v>40</v>
      </c>
      <c r="FI150" s="10" t="s">
        <v>40</v>
      </c>
      <c r="FK150" s="10" t="s">
        <v>40</v>
      </c>
      <c r="FM150" s="10" t="s">
        <v>40</v>
      </c>
      <c r="FO150" s="10" t="s">
        <v>40</v>
      </c>
      <c r="FQ150" s="10" t="s">
        <v>40</v>
      </c>
      <c r="FS150" s="10" t="s">
        <v>40</v>
      </c>
      <c r="FU150" s="10" t="s">
        <v>40</v>
      </c>
      <c r="FW150" s="10" t="s">
        <v>40</v>
      </c>
      <c r="FY150" s="10" t="s">
        <v>40</v>
      </c>
      <c r="GA150" s="10" t="s">
        <v>40</v>
      </c>
      <c r="GC150" s="10" t="s">
        <v>40</v>
      </c>
      <c r="GE150" s="10" t="s">
        <v>40</v>
      </c>
      <c r="GG150" s="10" t="s">
        <v>40</v>
      </c>
      <c r="GI150" s="10" t="s">
        <v>40</v>
      </c>
      <c r="GK150" s="10" t="s">
        <v>40</v>
      </c>
      <c r="GM150" s="10" t="s">
        <v>40</v>
      </c>
      <c r="GO150" s="10" t="s">
        <v>40</v>
      </c>
      <c r="GQ150" s="10" t="s">
        <v>40</v>
      </c>
      <c r="GS150" s="10" t="s">
        <v>40</v>
      </c>
      <c r="GU150" s="10" t="s">
        <v>40</v>
      </c>
      <c r="GW150" s="10" t="s">
        <v>40</v>
      </c>
      <c r="GY150" s="10" t="s">
        <v>40</v>
      </c>
      <c r="HA150" s="10" t="s">
        <v>40</v>
      </c>
      <c r="HC150" s="10" t="s">
        <v>40</v>
      </c>
    </row>
    <row r="152" spans="91:211" x14ac:dyDescent="0.2">
      <c r="CQ152" s="26" t="s">
        <v>40</v>
      </c>
      <c r="CS152" s="26" t="s">
        <v>40</v>
      </c>
      <c r="CU152" s="26" t="s">
        <v>40</v>
      </c>
      <c r="CW152" s="26" t="s">
        <v>40</v>
      </c>
      <c r="CY152" s="26" t="s">
        <v>40</v>
      </c>
      <c r="DA152" s="26" t="s">
        <v>40</v>
      </c>
      <c r="DC152" s="26" t="s">
        <v>40</v>
      </c>
      <c r="DE152" s="26" t="s">
        <v>40</v>
      </c>
      <c r="DG152" s="26" t="s">
        <v>40</v>
      </c>
      <c r="DI152" s="26" t="s">
        <v>40</v>
      </c>
      <c r="DK152" s="26" t="s">
        <v>40</v>
      </c>
      <c r="DM152" s="26" t="s">
        <v>40</v>
      </c>
      <c r="DO152" s="26" t="s">
        <v>40</v>
      </c>
      <c r="DQ152" s="26" t="s">
        <v>40</v>
      </c>
      <c r="DS152" s="26" t="s">
        <v>40</v>
      </c>
      <c r="DU152" s="26" t="s">
        <v>40</v>
      </c>
      <c r="DW152" s="26" t="s">
        <v>40</v>
      </c>
      <c r="DY152" s="26" t="s">
        <v>40</v>
      </c>
      <c r="EA152" s="26" t="s">
        <v>40</v>
      </c>
      <c r="EC152" s="26" t="s">
        <v>40</v>
      </c>
      <c r="EE152" s="26" t="s">
        <v>40</v>
      </c>
      <c r="EG152" s="26" t="s">
        <v>40</v>
      </c>
      <c r="EI152" s="26" t="s">
        <v>40</v>
      </c>
      <c r="EK152" s="26" t="s">
        <v>40</v>
      </c>
      <c r="EM152" s="26" t="s">
        <v>40</v>
      </c>
      <c r="EO152" s="26" t="s">
        <v>40</v>
      </c>
      <c r="EQ152" s="26" t="s">
        <v>40</v>
      </c>
      <c r="ES152" s="26" t="s">
        <v>40</v>
      </c>
      <c r="EU152" s="26" t="s">
        <v>40</v>
      </c>
      <c r="EW152" s="26" t="s">
        <v>40</v>
      </c>
      <c r="EY152" s="26" t="s">
        <v>40</v>
      </c>
      <c r="FA152" s="26" t="s">
        <v>40</v>
      </c>
      <c r="FC152" s="26" t="s">
        <v>40</v>
      </c>
      <c r="FE152" s="26" t="s">
        <v>40</v>
      </c>
      <c r="FG152" s="26" t="s">
        <v>40</v>
      </c>
      <c r="FI152" s="26" t="s">
        <v>40</v>
      </c>
      <c r="FK152" s="26" t="s">
        <v>40</v>
      </c>
      <c r="FM152" s="26" t="s">
        <v>40</v>
      </c>
      <c r="FO152" s="26" t="s">
        <v>40</v>
      </c>
      <c r="FQ152" s="26" t="s">
        <v>40</v>
      </c>
      <c r="FS152" s="26" t="s">
        <v>40</v>
      </c>
      <c r="FU152" s="26" t="s">
        <v>40</v>
      </c>
      <c r="FW152" s="26" t="s">
        <v>40</v>
      </c>
      <c r="FY152" s="26" t="s">
        <v>40</v>
      </c>
      <c r="GA152" s="26" t="s">
        <v>40</v>
      </c>
      <c r="GC152" s="26" t="s">
        <v>40</v>
      </c>
      <c r="GE152" s="26" t="s">
        <v>40</v>
      </c>
      <c r="GG152" s="26" t="s">
        <v>40</v>
      </c>
      <c r="GI152" s="26" t="s">
        <v>40</v>
      </c>
      <c r="GK152" s="26" t="s">
        <v>40</v>
      </c>
      <c r="GM152" s="26" t="s">
        <v>40</v>
      </c>
      <c r="GO152" s="26" t="s">
        <v>40</v>
      </c>
      <c r="GQ152" s="26" t="s">
        <v>40</v>
      </c>
      <c r="GS152" s="26" t="s">
        <v>40</v>
      </c>
      <c r="GU152" s="26" t="s">
        <v>40</v>
      </c>
      <c r="GW152" s="26" t="s">
        <v>40</v>
      </c>
      <c r="GY152" s="26" t="s">
        <v>40</v>
      </c>
      <c r="HA152" s="26" t="s">
        <v>40</v>
      </c>
      <c r="HC152" s="26" t="s">
        <v>40</v>
      </c>
    </row>
    <row r="153" spans="91:211" x14ac:dyDescent="0.2">
      <c r="CQ153" s="10" t="s">
        <v>40</v>
      </c>
      <c r="CS153" s="10" t="s">
        <v>40</v>
      </c>
      <c r="CU153" s="10" t="s">
        <v>40</v>
      </c>
      <c r="CW153" s="10" t="s">
        <v>40</v>
      </c>
      <c r="CY153" s="10" t="s">
        <v>40</v>
      </c>
      <c r="DA153" s="10" t="s">
        <v>40</v>
      </c>
      <c r="DC153" s="10" t="s">
        <v>40</v>
      </c>
      <c r="DE153" s="10" t="s">
        <v>40</v>
      </c>
      <c r="DG153" s="10" t="s">
        <v>40</v>
      </c>
      <c r="DI153" s="10" t="s">
        <v>40</v>
      </c>
      <c r="DK153" s="10" t="s">
        <v>40</v>
      </c>
      <c r="DM153" s="10" t="s">
        <v>40</v>
      </c>
      <c r="DO153" s="10" t="s">
        <v>40</v>
      </c>
      <c r="DQ153" s="10" t="s">
        <v>40</v>
      </c>
      <c r="DS153" s="10" t="s">
        <v>40</v>
      </c>
      <c r="DU153" s="10" t="s">
        <v>40</v>
      </c>
      <c r="DW153" s="10" t="s">
        <v>40</v>
      </c>
      <c r="DY153" s="10" t="s">
        <v>40</v>
      </c>
      <c r="EA153" s="10" t="s">
        <v>40</v>
      </c>
      <c r="EC153" s="10" t="s">
        <v>40</v>
      </c>
      <c r="EE153" s="10" t="s">
        <v>40</v>
      </c>
      <c r="EG153" s="10" t="s">
        <v>40</v>
      </c>
      <c r="EI153" s="10" t="s">
        <v>40</v>
      </c>
      <c r="EK153" s="10" t="s">
        <v>40</v>
      </c>
      <c r="EM153" s="10" t="s">
        <v>40</v>
      </c>
      <c r="EO153" s="10" t="s">
        <v>40</v>
      </c>
      <c r="EQ153" s="10" t="s">
        <v>40</v>
      </c>
      <c r="ES153" s="10" t="s">
        <v>40</v>
      </c>
      <c r="EU153" s="10" t="s">
        <v>40</v>
      </c>
      <c r="EW153" s="10" t="s">
        <v>40</v>
      </c>
      <c r="EY153" s="10" t="s">
        <v>40</v>
      </c>
      <c r="FA153" s="10" t="s">
        <v>40</v>
      </c>
      <c r="FC153" s="10" t="s">
        <v>40</v>
      </c>
      <c r="FE153" s="10" t="s">
        <v>40</v>
      </c>
      <c r="FG153" s="10" t="s">
        <v>40</v>
      </c>
      <c r="FI153" s="10" t="s">
        <v>40</v>
      </c>
      <c r="FK153" s="10" t="s">
        <v>40</v>
      </c>
      <c r="FM153" s="10" t="s">
        <v>40</v>
      </c>
      <c r="FO153" s="10" t="s">
        <v>40</v>
      </c>
      <c r="FQ153" s="10" t="s">
        <v>40</v>
      </c>
      <c r="FS153" s="10" t="s">
        <v>40</v>
      </c>
      <c r="FU153" s="10" t="s">
        <v>40</v>
      </c>
      <c r="FW153" s="10" t="s">
        <v>40</v>
      </c>
      <c r="FY153" s="10" t="s">
        <v>40</v>
      </c>
      <c r="GA153" s="10" t="s">
        <v>40</v>
      </c>
      <c r="GC153" s="10" t="s">
        <v>40</v>
      </c>
      <c r="GE153" s="10" t="s">
        <v>40</v>
      </c>
      <c r="GG153" s="10" t="s">
        <v>40</v>
      </c>
      <c r="GI153" s="10" t="s">
        <v>40</v>
      </c>
      <c r="GK153" s="10" t="s">
        <v>40</v>
      </c>
      <c r="GM153" s="10" t="s">
        <v>40</v>
      </c>
      <c r="GO153" s="10" t="s">
        <v>40</v>
      </c>
      <c r="GQ153" s="10" t="s">
        <v>40</v>
      </c>
      <c r="GS153" s="10" t="s">
        <v>40</v>
      </c>
      <c r="GU153" s="10" t="s">
        <v>40</v>
      </c>
      <c r="GW153" s="10" t="s">
        <v>40</v>
      </c>
      <c r="GY153" s="10" t="s">
        <v>40</v>
      </c>
      <c r="HA153" s="10" t="s">
        <v>40</v>
      </c>
      <c r="HC153" s="10" t="s">
        <v>40</v>
      </c>
    </row>
    <row r="155" spans="91:211" x14ac:dyDescent="0.2">
      <c r="CS155" s="26" t="s">
        <v>40</v>
      </c>
      <c r="CU155" s="26" t="s">
        <v>40</v>
      </c>
      <c r="CW155" s="26" t="s">
        <v>40</v>
      </c>
      <c r="CY155" s="26" t="s">
        <v>40</v>
      </c>
      <c r="DA155" s="26" t="s">
        <v>40</v>
      </c>
      <c r="DC155" s="26" t="s">
        <v>40</v>
      </c>
      <c r="DE155" s="26" t="s">
        <v>40</v>
      </c>
      <c r="DG155" s="26" t="s">
        <v>40</v>
      </c>
      <c r="DI155" s="26" t="s">
        <v>40</v>
      </c>
      <c r="DK155" s="26" t="s">
        <v>40</v>
      </c>
      <c r="DM155" s="26" t="s">
        <v>40</v>
      </c>
      <c r="DO155" s="26" t="s">
        <v>40</v>
      </c>
      <c r="DQ155" s="26" t="s">
        <v>40</v>
      </c>
      <c r="DS155" s="26" t="s">
        <v>40</v>
      </c>
      <c r="DU155" s="26" t="s">
        <v>40</v>
      </c>
      <c r="DW155" s="26" t="s">
        <v>40</v>
      </c>
      <c r="DY155" s="26" t="s">
        <v>40</v>
      </c>
      <c r="EA155" s="26" t="s">
        <v>40</v>
      </c>
      <c r="EC155" s="26" t="s">
        <v>40</v>
      </c>
      <c r="EE155" s="26" t="s">
        <v>40</v>
      </c>
      <c r="EG155" s="26" t="s">
        <v>40</v>
      </c>
      <c r="EI155" s="26" t="s">
        <v>40</v>
      </c>
      <c r="EK155" s="26" t="s">
        <v>40</v>
      </c>
      <c r="EM155" s="26" t="s">
        <v>40</v>
      </c>
      <c r="EO155" s="26" t="s">
        <v>40</v>
      </c>
      <c r="EQ155" s="26" t="s">
        <v>40</v>
      </c>
      <c r="ES155" s="26" t="s">
        <v>40</v>
      </c>
      <c r="EU155" s="26" t="s">
        <v>40</v>
      </c>
      <c r="EW155" s="26" t="s">
        <v>40</v>
      </c>
      <c r="EY155" s="26" t="s">
        <v>40</v>
      </c>
      <c r="FA155" s="26" t="s">
        <v>40</v>
      </c>
      <c r="FC155" s="26" t="s">
        <v>40</v>
      </c>
      <c r="FE155" s="26" t="s">
        <v>40</v>
      </c>
      <c r="FG155" s="26" t="s">
        <v>40</v>
      </c>
      <c r="FI155" s="26" t="s">
        <v>40</v>
      </c>
      <c r="FK155" s="26" t="s">
        <v>40</v>
      </c>
      <c r="FM155" s="26" t="s">
        <v>40</v>
      </c>
      <c r="FO155" s="26" t="s">
        <v>40</v>
      </c>
      <c r="FQ155" s="26" t="s">
        <v>40</v>
      </c>
      <c r="FS155" s="26" t="s">
        <v>40</v>
      </c>
      <c r="FU155" s="26" t="s">
        <v>40</v>
      </c>
      <c r="FW155" s="26" t="s">
        <v>40</v>
      </c>
      <c r="FY155" s="26" t="s">
        <v>40</v>
      </c>
      <c r="GA155" s="26" t="s">
        <v>40</v>
      </c>
      <c r="GC155" s="26" t="s">
        <v>40</v>
      </c>
      <c r="GE155" s="26" t="s">
        <v>40</v>
      </c>
      <c r="GG155" s="26" t="s">
        <v>40</v>
      </c>
      <c r="GI155" s="26" t="s">
        <v>40</v>
      </c>
      <c r="GK155" s="26" t="s">
        <v>40</v>
      </c>
      <c r="GM155" s="26" t="s">
        <v>40</v>
      </c>
      <c r="GO155" s="26" t="s">
        <v>40</v>
      </c>
      <c r="GQ155" s="26" t="s">
        <v>40</v>
      </c>
      <c r="GS155" s="26" t="s">
        <v>40</v>
      </c>
      <c r="GU155" s="26" t="s">
        <v>40</v>
      </c>
      <c r="GW155" s="26" t="s">
        <v>40</v>
      </c>
      <c r="GY155" s="26" t="s">
        <v>40</v>
      </c>
      <c r="HA155" s="26" t="s">
        <v>40</v>
      </c>
      <c r="HC155" s="26" t="s">
        <v>40</v>
      </c>
    </row>
    <row r="156" spans="91:211" x14ac:dyDescent="0.2">
      <c r="CS156" s="10" t="s">
        <v>40</v>
      </c>
      <c r="CU156" s="10" t="s">
        <v>40</v>
      </c>
      <c r="CW156" s="10" t="s">
        <v>40</v>
      </c>
      <c r="CY156" s="10" t="s">
        <v>40</v>
      </c>
      <c r="DA156" s="10" t="s">
        <v>40</v>
      </c>
      <c r="DC156" s="10" t="s">
        <v>40</v>
      </c>
      <c r="DE156" s="10" t="s">
        <v>40</v>
      </c>
      <c r="DG156" s="10" t="s">
        <v>40</v>
      </c>
      <c r="DI156" s="10" t="s">
        <v>40</v>
      </c>
      <c r="DK156" s="10" t="s">
        <v>40</v>
      </c>
      <c r="DM156" s="10" t="s">
        <v>40</v>
      </c>
      <c r="DO156" s="10" t="s">
        <v>40</v>
      </c>
      <c r="DQ156" s="10" t="s">
        <v>40</v>
      </c>
      <c r="DS156" s="10" t="s">
        <v>40</v>
      </c>
      <c r="DU156" s="10" t="s">
        <v>40</v>
      </c>
      <c r="DW156" s="10" t="s">
        <v>40</v>
      </c>
      <c r="DY156" s="10" t="s">
        <v>40</v>
      </c>
      <c r="EA156" s="10" t="s">
        <v>40</v>
      </c>
      <c r="EC156" s="10" t="s">
        <v>40</v>
      </c>
      <c r="EE156" s="10" t="s">
        <v>40</v>
      </c>
      <c r="EG156" s="10" t="s">
        <v>40</v>
      </c>
      <c r="EI156" s="10" t="s">
        <v>40</v>
      </c>
      <c r="EK156" s="10" t="s">
        <v>40</v>
      </c>
      <c r="EM156" s="10" t="s">
        <v>40</v>
      </c>
      <c r="EO156" s="10" t="s">
        <v>40</v>
      </c>
      <c r="EQ156" s="10" t="s">
        <v>40</v>
      </c>
      <c r="ES156" s="10" t="s">
        <v>40</v>
      </c>
      <c r="EU156" s="10" t="s">
        <v>40</v>
      </c>
      <c r="EW156" s="10" t="s">
        <v>40</v>
      </c>
      <c r="EY156" s="10" t="s">
        <v>40</v>
      </c>
      <c r="FA156" s="10" t="s">
        <v>40</v>
      </c>
      <c r="FC156" s="10" t="s">
        <v>40</v>
      </c>
      <c r="FE156" s="10" t="s">
        <v>40</v>
      </c>
      <c r="FG156" s="10" t="s">
        <v>40</v>
      </c>
      <c r="FI156" s="10" t="s">
        <v>40</v>
      </c>
      <c r="FK156" s="10" t="s">
        <v>40</v>
      </c>
      <c r="FM156" s="10" t="s">
        <v>40</v>
      </c>
      <c r="FO156" s="10" t="s">
        <v>40</v>
      </c>
      <c r="FQ156" s="10" t="s">
        <v>40</v>
      </c>
      <c r="FS156" s="10" t="s">
        <v>40</v>
      </c>
      <c r="FU156" s="10" t="s">
        <v>40</v>
      </c>
      <c r="FW156" s="10" t="s">
        <v>40</v>
      </c>
      <c r="FY156" s="10" t="s">
        <v>40</v>
      </c>
      <c r="GA156" s="10" t="s">
        <v>40</v>
      </c>
      <c r="GC156" s="10" t="s">
        <v>40</v>
      </c>
      <c r="GE156" s="10" t="s">
        <v>40</v>
      </c>
      <c r="GG156" s="10" t="s">
        <v>40</v>
      </c>
      <c r="GI156" s="10" t="s">
        <v>40</v>
      </c>
      <c r="GK156" s="10" t="s">
        <v>40</v>
      </c>
      <c r="GM156" s="10" t="s">
        <v>40</v>
      </c>
      <c r="GO156" s="10" t="s">
        <v>40</v>
      </c>
      <c r="GQ156" s="10" t="s">
        <v>40</v>
      </c>
      <c r="GS156" s="10" t="s">
        <v>40</v>
      </c>
      <c r="GU156" s="10" t="s">
        <v>40</v>
      </c>
      <c r="GW156" s="10" t="s">
        <v>40</v>
      </c>
      <c r="GY156" s="10" t="s">
        <v>40</v>
      </c>
      <c r="HA156" s="10" t="s">
        <v>40</v>
      </c>
      <c r="HC156" s="10" t="s">
        <v>40</v>
      </c>
    </row>
    <row r="158" spans="91:211" x14ac:dyDescent="0.2">
      <c r="CU158" s="26" t="s">
        <v>40</v>
      </c>
      <c r="CW158" s="26" t="s">
        <v>40</v>
      </c>
      <c r="CY158" s="26" t="s">
        <v>40</v>
      </c>
      <c r="DA158" s="26" t="s">
        <v>40</v>
      </c>
      <c r="DC158" s="26" t="s">
        <v>40</v>
      </c>
      <c r="DE158" s="26" t="s">
        <v>40</v>
      </c>
      <c r="DG158" s="26" t="s">
        <v>40</v>
      </c>
      <c r="DI158" s="26" t="s">
        <v>40</v>
      </c>
      <c r="DK158" s="26" t="s">
        <v>40</v>
      </c>
      <c r="DM158" s="26" t="s">
        <v>40</v>
      </c>
      <c r="DO158" s="26" t="s">
        <v>40</v>
      </c>
      <c r="DQ158" s="26" t="s">
        <v>40</v>
      </c>
      <c r="DS158" s="26" t="s">
        <v>40</v>
      </c>
      <c r="DU158" s="26" t="s">
        <v>40</v>
      </c>
      <c r="DW158" s="26" t="s">
        <v>40</v>
      </c>
      <c r="DY158" s="26" t="s">
        <v>40</v>
      </c>
      <c r="EA158" s="26" t="s">
        <v>40</v>
      </c>
      <c r="EC158" s="26" t="s">
        <v>40</v>
      </c>
      <c r="EE158" s="26" t="s">
        <v>40</v>
      </c>
      <c r="EG158" s="26" t="s">
        <v>40</v>
      </c>
      <c r="EI158" s="26" t="s">
        <v>40</v>
      </c>
      <c r="EK158" s="26" t="s">
        <v>40</v>
      </c>
      <c r="EM158" s="26" t="s">
        <v>40</v>
      </c>
      <c r="EO158" s="26" t="s">
        <v>40</v>
      </c>
      <c r="EQ158" s="26" t="s">
        <v>40</v>
      </c>
      <c r="ES158" s="26" t="s">
        <v>40</v>
      </c>
      <c r="EU158" s="26" t="s">
        <v>40</v>
      </c>
      <c r="EW158" s="26" t="s">
        <v>40</v>
      </c>
      <c r="EY158" s="26" t="s">
        <v>40</v>
      </c>
      <c r="FA158" s="26" t="s">
        <v>40</v>
      </c>
      <c r="FC158" s="26" t="s">
        <v>40</v>
      </c>
      <c r="FE158" s="26" t="s">
        <v>40</v>
      </c>
      <c r="FG158" s="26" t="s">
        <v>40</v>
      </c>
      <c r="FI158" s="26" t="s">
        <v>40</v>
      </c>
      <c r="FK158" s="26" t="s">
        <v>40</v>
      </c>
      <c r="FM158" s="26" t="s">
        <v>40</v>
      </c>
      <c r="FO158" s="26" t="s">
        <v>40</v>
      </c>
      <c r="FQ158" s="26" t="s">
        <v>40</v>
      </c>
      <c r="FS158" s="26" t="s">
        <v>40</v>
      </c>
      <c r="FU158" s="26" t="s">
        <v>40</v>
      </c>
      <c r="FW158" s="26" t="s">
        <v>40</v>
      </c>
      <c r="FY158" s="26" t="s">
        <v>40</v>
      </c>
      <c r="GA158" s="26" t="s">
        <v>40</v>
      </c>
      <c r="GC158" s="26" t="s">
        <v>40</v>
      </c>
      <c r="GE158" s="26" t="s">
        <v>40</v>
      </c>
      <c r="GG158" s="26" t="s">
        <v>40</v>
      </c>
      <c r="GI158" s="26" t="s">
        <v>40</v>
      </c>
      <c r="GK158" s="26" t="s">
        <v>40</v>
      </c>
      <c r="GM158" s="26" t="s">
        <v>40</v>
      </c>
      <c r="GO158" s="26" t="s">
        <v>40</v>
      </c>
      <c r="GQ158" s="26" t="s">
        <v>40</v>
      </c>
      <c r="GS158" s="26" t="s">
        <v>40</v>
      </c>
      <c r="GU158" s="26" t="s">
        <v>40</v>
      </c>
      <c r="GW158" s="26" t="s">
        <v>40</v>
      </c>
      <c r="GY158" s="26" t="s">
        <v>40</v>
      </c>
      <c r="HA158" s="26" t="s">
        <v>40</v>
      </c>
      <c r="HC158" s="26" t="s">
        <v>40</v>
      </c>
    </row>
    <row r="159" spans="91:211" x14ac:dyDescent="0.2">
      <c r="CU159" s="10" t="s">
        <v>40</v>
      </c>
      <c r="CW159" s="10" t="s">
        <v>40</v>
      </c>
      <c r="CY159" s="10" t="s">
        <v>40</v>
      </c>
      <c r="DA159" s="10" t="s">
        <v>40</v>
      </c>
      <c r="DC159" s="10" t="s">
        <v>40</v>
      </c>
      <c r="DE159" s="10" t="s">
        <v>40</v>
      </c>
      <c r="DG159" s="10" t="s">
        <v>40</v>
      </c>
      <c r="DI159" s="10" t="s">
        <v>40</v>
      </c>
      <c r="DK159" s="10" t="s">
        <v>40</v>
      </c>
      <c r="DM159" s="10" t="s">
        <v>40</v>
      </c>
      <c r="DO159" s="10" t="s">
        <v>40</v>
      </c>
      <c r="DQ159" s="10" t="s">
        <v>40</v>
      </c>
      <c r="DS159" s="10" t="s">
        <v>40</v>
      </c>
      <c r="DU159" s="10" t="s">
        <v>40</v>
      </c>
      <c r="DW159" s="10" t="s">
        <v>40</v>
      </c>
      <c r="DY159" s="10" t="s">
        <v>40</v>
      </c>
      <c r="EA159" s="10" t="s">
        <v>40</v>
      </c>
      <c r="EC159" s="10" t="s">
        <v>40</v>
      </c>
      <c r="EE159" s="10" t="s">
        <v>40</v>
      </c>
      <c r="EG159" s="10" t="s">
        <v>40</v>
      </c>
      <c r="EI159" s="10" t="s">
        <v>40</v>
      </c>
      <c r="EK159" s="10" t="s">
        <v>40</v>
      </c>
      <c r="EM159" s="10" t="s">
        <v>40</v>
      </c>
      <c r="EO159" s="10" t="s">
        <v>40</v>
      </c>
      <c r="EQ159" s="10" t="s">
        <v>40</v>
      </c>
      <c r="ES159" s="10" t="s">
        <v>40</v>
      </c>
      <c r="EU159" s="10" t="s">
        <v>40</v>
      </c>
      <c r="EW159" s="10" t="s">
        <v>40</v>
      </c>
      <c r="EY159" s="10" t="s">
        <v>40</v>
      </c>
      <c r="FA159" s="10" t="s">
        <v>40</v>
      </c>
      <c r="FC159" s="10" t="s">
        <v>40</v>
      </c>
      <c r="FE159" s="10" t="s">
        <v>40</v>
      </c>
      <c r="FG159" s="10" t="s">
        <v>40</v>
      </c>
      <c r="FI159" s="10" t="s">
        <v>40</v>
      </c>
      <c r="FK159" s="10" t="s">
        <v>40</v>
      </c>
      <c r="FM159" s="10" t="s">
        <v>40</v>
      </c>
      <c r="FO159" s="10" t="s">
        <v>40</v>
      </c>
      <c r="FQ159" s="10" t="s">
        <v>40</v>
      </c>
      <c r="FS159" s="10" t="s">
        <v>40</v>
      </c>
      <c r="FU159" s="10" t="s">
        <v>40</v>
      </c>
      <c r="FW159" s="10" t="s">
        <v>40</v>
      </c>
      <c r="FY159" s="10" t="s">
        <v>40</v>
      </c>
      <c r="GA159" s="10" t="s">
        <v>40</v>
      </c>
      <c r="GC159" s="10" t="s">
        <v>40</v>
      </c>
      <c r="GE159" s="10" t="s">
        <v>40</v>
      </c>
      <c r="GG159" s="10" t="s">
        <v>40</v>
      </c>
      <c r="GI159" s="10" t="s">
        <v>40</v>
      </c>
      <c r="GK159" s="10" t="s">
        <v>40</v>
      </c>
      <c r="GM159" s="10" t="s">
        <v>40</v>
      </c>
      <c r="GO159" s="10" t="s">
        <v>40</v>
      </c>
      <c r="GQ159" s="10" t="s">
        <v>40</v>
      </c>
      <c r="GS159" s="10" t="s">
        <v>40</v>
      </c>
      <c r="GU159" s="10" t="s">
        <v>40</v>
      </c>
      <c r="GW159" s="10" t="s">
        <v>40</v>
      </c>
      <c r="GY159" s="10" t="s">
        <v>40</v>
      </c>
      <c r="HA159" s="10" t="s">
        <v>40</v>
      </c>
      <c r="HC159" s="10" t="s">
        <v>40</v>
      </c>
    </row>
    <row r="161" spans="101:211" x14ac:dyDescent="0.2">
      <c r="CW161" s="26" t="s">
        <v>40</v>
      </c>
      <c r="CY161" s="26" t="s">
        <v>40</v>
      </c>
      <c r="DA161" s="26" t="s">
        <v>40</v>
      </c>
      <c r="DC161" s="26" t="s">
        <v>40</v>
      </c>
      <c r="DE161" s="26" t="s">
        <v>40</v>
      </c>
      <c r="DG161" s="26" t="s">
        <v>40</v>
      </c>
      <c r="DI161" s="26" t="s">
        <v>40</v>
      </c>
      <c r="DK161" s="26" t="s">
        <v>40</v>
      </c>
      <c r="DM161" s="26" t="s">
        <v>40</v>
      </c>
      <c r="DO161" s="26" t="s">
        <v>40</v>
      </c>
      <c r="DQ161" s="26" t="s">
        <v>40</v>
      </c>
      <c r="DS161" s="26" t="s">
        <v>40</v>
      </c>
      <c r="DU161" s="26" t="s">
        <v>40</v>
      </c>
      <c r="DW161" s="26" t="s">
        <v>40</v>
      </c>
      <c r="DY161" s="26" t="s">
        <v>40</v>
      </c>
      <c r="EA161" s="26" t="s">
        <v>40</v>
      </c>
      <c r="EC161" s="26" t="s">
        <v>40</v>
      </c>
      <c r="EE161" s="26" t="s">
        <v>40</v>
      </c>
      <c r="EG161" s="26" t="s">
        <v>40</v>
      </c>
      <c r="EI161" s="26" t="s">
        <v>40</v>
      </c>
      <c r="EK161" s="26" t="s">
        <v>40</v>
      </c>
      <c r="EM161" s="26" t="s">
        <v>40</v>
      </c>
      <c r="EO161" s="26" t="s">
        <v>40</v>
      </c>
      <c r="EQ161" s="26" t="s">
        <v>40</v>
      </c>
      <c r="ES161" s="26" t="s">
        <v>40</v>
      </c>
      <c r="EU161" s="26" t="s">
        <v>40</v>
      </c>
      <c r="EW161" s="26" t="s">
        <v>40</v>
      </c>
      <c r="EY161" s="26" t="s">
        <v>40</v>
      </c>
      <c r="FA161" s="26" t="s">
        <v>40</v>
      </c>
      <c r="FC161" s="26" t="s">
        <v>40</v>
      </c>
      <c r="FE161" s="26" t="s">
        <v>40</v>
      </c>
      <c r="FG161" s="26" t="s">
        <v>40</v>
      </c>
      <c r="FI161" s="26" t="s">
        <v>40</v>
      </c>
      <c r="FK161" s="26" t="s">
        <v>40</v>
      </c>
      <c r="FM161" s="26" t="s">
        <v>40</v>
      </c>
      <c r="FO161" s="26" t="s">
        <v>40</v>
      </c>
      <c r="FQ161" s="26" t="s">
        <v>40</v>
      </c>
      <c r="FS161" s="26" t="s">
        <v>40</v>
      </c>
      <c r="FU161" s="26" t="s">
        <v>40</v>
      </c>
      <c r="FW161" s="26" t="s">
        <v>40</v>
      </c>
      <c r="FY161" s="26" t="s">
        <v>40</v>
      </c>
      <c r="GA161" s="26" t="s">
        <v>40</v>
      </c>
      <c r="GC161" s="26" t="s">
        <v>40</v>
      </c>
      <c r="GE161" s="26" t="s">
        <v>40</v>
      </c>
      <c r="GG161" s="26" t="s">
        <v>40</v>
      </c>
      <c r="GI161" s="26" t="s">
        <v>40</v>
      </c>
      <c r="GK161" s="26" t="s">
        <v>40</v>
      </c>
      <c r="GM161" s="26" t="s">
        <v>40</v>
      </c>
      <c r="GO161" s="26" t="s">
        <v>40</v>
      </c>
      <c r="GQ161" s="26" t="s">
        <v>40</v>
      </c>
      <c r="GS161" s="26" t="s">
        <v>40</v>
      </c>
      <c r="GU161" s="26" t="s">
        <v>40</v>
      </c>
      <c r="GW161" s="26" t="s">
        <v>40</v>
      </c>
      <c r="GY161" s="26" t="s">
        <v>40</v>
      </c>
      <c r="HA161" s="26" t="s">
        <v>40</v>
      </c>
      <c r="HC161" s="26" t="s">
        <v>40</v>
      </c>
    </row>
    <row r="162" spans="101:211" x14ac:dyDescent="0.2">
      <c r="CW162" s="10" t="s">
        <v>40</v>
      </c>
      <c r="CY162" s="10" t="s">
        <v>40</v>
      </c>
      <c r="DA162" s="10" t="s">
        <v>40</v>
      </c>
      <c r="DC162" s="10" t="s">
        <v>40</v>
      </c>
      <c r="DE162" s="10" t="s">
        <v>40</v>
      </c>
      <c r="DG162" s="10" t="s">
        <v>40</v>
      </c>
      <c r="DI162" s="10" t="s">
        <v>40</v>
      </c>
      <c r="DK162" s="10" t="s">
        <v>40</v>
      </c>
      <c r="DM162" s="10" t="s">
        <v>40</v>
      </c>
      <c r="DO162" s="10" t="s">
        <v>40</v>
      </c>
      <c r="DQ162" s="10" t="s">
        <v>40</v>
      </c>
      <c r="DS162" s="10" t="s">
        <v>40</v>
      </c>
      <c r="DU162" s="10" t="s">
        <v>40</v>
      </c>
      <c r="DW162" s="10" t="s">
        <v>40</v>
      </c>
      <c r="DY162" s="10" t="s">
        <v>40</v>
      </c>
      <c r="EA162" s="10" t="s">
        <v>40</v>
      </c>
      <c r="EC162" s="10" t="s">
        <v>40</v>
      </c>
      <c r="EE162" s="10" t="s">
        <v>40</v>
      </c>
      <c r="EG162" s="10" t="s">
        <v>40</v>
      </c>
      <c r="EI162" s="10" t="s">
        <v>40</v>
      </c>
      <c r="EK162" s="10" t="s">
        <v>40</v>
      </c>
      <c r="EM162" s="10" t="s">
        <v>40</v>
      </c>
      <c r="EO162" s="10" t="s">
        <v>40</v>
      </c>
      <c r="EQ162" s="10" t="s">
        <v>40</v>
      </c>
      <c r="ES162" s="10" t="s">
        <v>40</v>
      </c>
      <c r="EU162" s="10" t="s">
        <v>40</v>
      </c>
      <c r="EW162" s="10" t="s">
        <v>40</v>
      </c>
      <c r="EY162" s="10" t="s">
        <v>40</v>
      </c>
      <c r="FA162" s="10" t="s">
        <v>40</v>
      </c>
      <c r="FC162" s="10" t="s">
        <v>40</v>
      </c>
      <c r="FE162" s="10" t="s">
        <v>40</v>
      </c>
      <c r="FG162" s="10" t="s">
        <v>40</v>
      </c>
      <c r="FI162" s="10" t="s">
        <v>40</v>
      </c>
      <c r="FK162" s="10" t="s">
        <v>40</v>
      </c>
      <c r="FM162" s="10" t="s">
        <v>40</v>
      </c>
      <c r="FO162" s="10" t="s">
        <v>40</v>
      </c>
      <c r="FQ162" s="10" t="s">
        <v>40</v>
      </c>
      <c r="FS162" s="10" t="s">
        <v>40</v>
      </c>
      <c r="FU162" s="10" t="s">
        <v>40</v>
      </c>
      <c r="FW162" s="10" t="s">
        <v>40</v>
      </c>
      <c r="FY162" s="10" t="s">
        <v>40</v>
      </c>
      <c r="GA162" s="10" t="s">
        <v>40</v>
      </c>
      <c r="GC162" s="10" t="s">
        <v>40</v>
      </c>
      <c r="GE162" s="10" t="s">
        <v>40</v>
      </c>
      <c r="GG162" s="10" t="s">
        <v>40</v>
      </c>
      <c r="GI162" s="10" t="s">
        <v>40</v>
      </c>
      <c r="GK162" s="10" t="s">
        <v>40</v>
      </c>
      <c r="GM162" s="10" t="s">
        <v>40</v>
      </c>
      <c r="GO162" s="10" t="s">
        <v>40</v>
      </c>
      <c r="GQ162" s="10" t="s">
        <v>40</v>
      </c>
      <c r="GS162" s="10" t="s">
        <v>40</v>
      </c>
      <c r="GU162" s="10" t="s">
        <v>40</v>
      </c>
      <c r="GW162" s="10" t="s">
        <v>40</v>
      </c>
      <c r="GY162" s="10" t="s">
        <v>40</v>
      </c>
      <c r="HA162" s="10" t="s">
        <v>40</v>
      </c>
      <c r="HC162" s="10" t="s">
        <v>40</v>
      </c>
    </row>
    <row r="164" spans="101:211" x14ac:dyDescent="0.2">
      <c r="CY164" s="26" t="s">
        <v>40</v>
      </c>
      <c r="DA164" s="26" t="s">
        <v>40</v>
      </c>
      <c r="DC164" s="26" t="s">
        <v>40</v>
      </c>
      <c r="DE164" s="26" t="s">
        <v>40</v>
      </c>
      <c r="DG164" s="26" t="s">
        <v>40</v>
      </c>
      <c r="DI164" s="26" t="s">
        <v>40</v>
      </c>
      <c r="DK164" s="26" t="s">
        <v>40</v>
      </c>
      <c r="DM164" s="26" t="s">
        <v>40</v>
      </c>
      <c r="DO164" s="26" t="s">
        <v>40</v>
      </c>
      <c r="DQ164" s="26" t="s">
        <v>40</v>
      </c>
      <c r="DS164" s="26" t="s">
        <v>40</v>
      </c>
      <c r="DU164" s="26" t="s">
        <v>40</v>
      </c>
      <c r="DW164" s="26" t="s">
        <v>40</v>
      </c>
      <c r="DY164" s="26" t="s">
        <v>40</v>
      </c>
      <c r="EA164" s="26" t="s">
        <v>40</v>
      </c>
      <c r="EC164" s="26" t="s">
        <v>40</v>
      </c>
      <c r="EE164" s="26" t="s">
        <v>40</v>
      </c>
      <c r="EG164" s="26" t="s">
        <v>40</v>
      </c>
      <c r="EI164" s="26" t="s">
        <v>40</v>
      </c>
      <c r="EK164" s="26" t="s">
        <v>40</v>
      </c>
      <c r="EM164" s="26" t="s">
        <v>40</v>
      </c>
      <c r="EO164" s="26" t="s">
        <v>40</v>
      </c>
      <c r="EQ164" s="26" t="s">
        <v>40</v>
      </c>
      <c r="ES164" s="26" t="s">
        <v>40</v>
      </c>
      <c r="EU164" s="26" t="s">
        <v>40</v>
      </c>
      <c r="EW164" s="26" t="s">
        <v>40</v>
      </c>
      <c r="EY164" s="26" t="s">
        <v>40</v>
      </c>
      <c r="FA164" s="26" t="s">
        <v>40</v>
      </c>
      <c r="FC164" s="26" t="s">
        <v>40</v>
      </c>
      <c r="FE164" s="26" t="s">
        <v>40</v>
      </c>
      <c r="FG164" s="26" t="s">
        <v>40</v>
      </c>
      <c r="FI164" s="26" t="s">
        <v>40</v>
      </c>
      <c r="FK164" s="26" t="s">
        <v>40</v>
      </c>
      <c r="FM164" s="26" t="s">
        <v>40</v>
      </c>
      <c r="FO164" s="26" t="s">
        <v>40</v>
      </c>
      <c r="FQ164" s="26" t="s">
        <v>40</v>
      </c>
      <c r="FS164" s="26" t="s">
        <v>40</v>
      </c>
      <c r="FU164" s="26" t="s">
        <v>40</v>
      </c>
      <c r="FW164" s="26" t="s">
        <v>40</v>
      </c>
      <c r="FY164" s="26" t="s">
        <v>40</v>
      </c>
      <c r="GA164" s="26" t="s">
        <v>40</v>
      </c>
      <c r="GC164" s="26" t="s">
        <v>40</v>
      </c>
      <c r="GE164" s="26" t="s">
        <v>40</v>
      </c>
      <c r="GG164" s="26" t="s">
        <v>40</v>
      </c>
      <c r="GI164" s="26" t="s">
        <v>40</v>
      </c>
      <c r="GK164" s="26" t="s">
        <v>40</v>
      </c>
      <c r="GM164" s="26" t="s">
        <v>40</v>
      </c>
      <c r="GO164" s="26" t="s">
        <v>40</v>
      </c>
      <c r="GQ164" s="26" t="s">
        <v>40</v>
      </c>
      <c r="GS164" s="26" t="s">
        <v>40</v>
      </c>
      <c r="GU164" s="26" t="s">
        <v>40</v>
      </c>
      <c r="GW164" s="26" t="s">
        <v>40</v>
      </c>
      <c r="GY164" s="26" t="s">
        <v>40</v>
      </c>
      <c r="HA164" s="26" t="s">
        <v>40</v>
      </c>
      <c r="HC164" s="26" t="s">
        <v>40</v>
      </c>
    </row>
    <row r="165" spans="101:211" x14ac:dyDescent="0.2">
      <c r="CY165" s="10" t="s">
        <v>40</v>
      </c>
      <c r="DA165" s="10" t="s">
        <v>40</v>
      </c>
      <c r="DC165" s="10" t="s">
        <v>40</v>
      </c>
      <c r="DE165" s="10" t="s">
        <v>40</v>
      </c>
      <c r="DG165" s="10" t="s">
        <v>40</v>
      </c>
      <c r="DI165" s="10" t="s">
        <v>40</v>
      </c>
      <c r="DK165" s="10" t="s">
        <v>40</v>
      </c>
      <c r="DM165" s="10" t="s">
        <v>40</v>
      </c>
      <c r="DO165" s="10" t="s">
        <v>40</v>
      </c>
      <c r="DQ165" s="10" t="s">
        <v>40</v>
      </c>
      <c r="DS165" s="10" t="s">
        <v>40</v>
      </c>
      <c r="DU165" s="10" t="s">
        <v>40</v>
      </c>
      <c r="DW165" s="10" t="s">
        <v>40</v>
      </c>
      <c r="DY165" s="10" t="s">
        <v>40</v>
      </c>
      <c r="EA165" s="10" t="s">
        <v>40</v>
      </c>
      <c r="EC165" s="10" t="s">
        <v>40</v>
      </c>
      <c r="EE165" s="10" t="s">
        <v>40</v>
      </c>
      <c r="EG165" s="10" t="s">
        <v>40</v>
      </c>
      <c r="EI165" s="10" t="s">
        <v>40</v>
      </c>
      <c r="EK165" s="10" t="s">
        <v>40</v>
      </c>
      <c r="EM165" s="10" t="s">
        <v>40</v>
      </c>
      <c r="EO165" s="10" t="s">
        <v>40</v>
      </c>
      <c r="EQ165" s="10" t="s">
        <v>40</v>
      </c>
      <c r="ES165" s="10" t="s">
        <v>40</v>
      </c>
      <c r="EU165" s="10" t="s">
        <v>40</v>
      </c>
      <c r="EW165" s="10" t="s">
        <v>40</v>
      </c>
      <c r="EY165" s="10" t="s">
        <v>40</v>
      </c>
      <c r="FA165" s="10" t="s">
        <v>40</v>
      </c>
      <c r="FC165" s="10" t="s">
        <v>40</v>
      </c>
      <c r="FE165" s="10" t="s">
        <v>40</v>
      </c>
      <c r="FG165" s="10" t="s">
        <v>40</v>
      </c>
      <c r="FI165" s="10" t="s">
        <v>40</v>
      </c>
      <c r="FK165" s="10" t="s">
        <v>40</v>
      </c>
      <c r="FM165" s="10" t="s">
        <v>40</v>
      </c>
      <c r="FO165" s="10" t="s">
        <v>40</v>
      </c>
      <c r="FQ165" s="10" t="s">
        <v>40</v>
      </c>
      <c r="FS165" s="10" t="s">
        <v>40</v>
      </c>
      <c r="FU165" s="10" t="s">
        <v>40</v>
      </c>
      <c r="FW165" s="10" t="s">
        <v>40</v>
      </c>
      <c r="FY165" s="10" t="s">
        <v>40</v>
      </c>
      <c r="GA165" s="10" t="s">
        <v>40</v>
      </c>
      <c r="GC165" s="10" t="s">
        <v>40</v>
      </c>
      <c r="GE165" s="10" t="s">
        <v>40</v>
      </c>
      <c r="GG165" s="10" t="s">
        <v>40</v>
      </c>
      <c r="GI165" s="10" t="s">
        <v>40</v>
      </c>
      <c r="GK165" s="10" t="s">
        <v>40</v>
      </c>
      <c r="GM165" s="10" t="s">
        <v>40</v>
      </c>
      <c r="GO165" s="10" t="s">
        <v>40</v>
      </c>
      <c r="GQ165" s="10" t="s">
        <v>40</v>
      </c>
      <c r="GS165" s="10" t="s">
        <v>40</v>
      </c>
      <c r="GU165" s="10" t="s">
        <v>40</v>
      </c>
      <c r="GW165" s="10" t="s">
        <v>40</v>
      </c>
      <c r="GY165" s="10" t="s">
        <v>40</v>
      </c>
      <c r="HA165" s="10" t="s">
        <v>40</v>
      </c>
      <c r="HC165" s="10" t="s">
        <v>40</v>
      </c>
    </row>
    <row r="167" spans="101:211" x14ac:dyDescent="0.2">
      <c r="DA167" s="26" t="s">
        <v>40</v>
      </c>
      <c r="DC167" s="26" t="s">
        <v>40</v>
      </c>
      <c r="DE167" s="26" t="s">
        <v>40</v>
      </c>
      <c r="DG167" s="26" t="s">
        <v>40</v>
      </c>
      <c r="DI167" s="26" t="s">
        <v>40</v>
      </c>
      <c r="DK167" s="26" t="s">
        <v>40</v>
      </c>
      <c r="DM167" s="26" t="s">
        <v>40</v>
      </c>
      <c r="DO167" s="26" t="s">
        <v>40</v>
      </c>
      <c r="DQ167" s="26" t="s">
        <v>40</v>
      </c>
      <c r="DS167" s="26" t="s">
        <v>40</v>
      </c>
      <c r="DU167" s="26" t="s">
        <v>40</v>
      </c>
      <c r="DW167" s="26" t="s">
        <v>40</v>
      </c>
      <c r="DY167" s="26" t="s">
        <v>40</v>
      </c>
      <c r="EA167" s="26" t="s">
        <v>40</v>
      </c>
      <c r="EC167" s="26" t="s">
        <v>40</v>
      </c>
      <c r="EE167" s="26" t="s">
        <v>40</v>
      </c>
      <c r="EG167" s="26" t="s">
        <v>40</v>
      </c>
      <c r="EI167" s="26" t="s">
        <v>40</v>
      </c>
      <c r="EK167" s="26" t="s">
        <v>40</v>
      </c>
      <c r="EM167" s="26" t="s">
        <v>40</v>
      </c>
      <c r="EO167" s="26" t="s">
        <v>40</v>
      </c>
      <c r="EQ167" s="26" t="s">
        <v>40</v>
      </c>
      <c r="ES167" s="26" t="s">
        <v>40</v>
      </c>
      <c r="EU167" s="26" t="s">
        <v>40</v>
      </c>
      <c r="EW167" s="26" t="s">
        <v>40</v>
      </c>
      <c r="EY167" s="26" t="s">
        <v>40</v>
      </c>
      <c r="FA167" s="26" t="s">
        <v>40</v>
      </c>
      <c r="FC167" s="26" t="s">
        <v>40</v>
      </c>
      <c r="FE167" s="26" t="s">
        <v>40</v>
      </c>
      <c r="FG167" s="26" t="s">
        <v>40</v>
      </c>
      <c r="FI167" s="26" t="s">
        <v>40</v>
      </c>
      <c r="FK167" s="26" t="s">
        <v>40</v>
      </c>
      <c r="FM167" s="26" t="s">
        <v>40</v>
      </c>
      <c r="FO167" s="26" t="s">
        <v>40</v>
      </c>
      <c r="FQ167" s="26" t="s">
        <v>40</v>
      </c>
      <c r="FS167" s="26" t="s">
        <v>40</v>
      </c>
      <c r="FU167" s="26" t="s">
        <v>40</v>
      </c>
      <c r="FW167" s="26" t="s">
        <v>40</v>
      </c>
      <c r="FY167" s="26" t="s">
        <v>40</v>
      </c>
      <c r="GA167" s="26" t="s">
        <v>40</v>
      </c>
      <c r="GC167" s="26" t="s">
        <v>40</v>
      </c>
      <c r="GE167" s="26" t="s">
        <v>40</v>
      </c>
      <c r="GG167" s="26" t="s">
        <v>40</v>
      </c>
      <c r="GI167" s="26" t="s">
        <v>40</v>
      </c>
      <c r="GK167" s="26" t="s">
        <v>40</v>
      </c>
      <c r="GM167" s="26" t="s">
        <v>40</v>
      </c>
      <c r="GO167" s="26" t="s">
        <v>40</v>
      </c>
      <c r="GQ167" s="26" t="s">
        <v>40</v>
      </c>
      <c r="GS167" s="26" t="s">
        <v>40</v>
      </c>
      <c r="GU167" s="26" t="s">
        <v>40</v>
      </c>
      <c r="GW167" s="26" t="s">
        <v>40</v>
      </c>
      <c r="GY167" s="26" t="s">
        <v>40</v>
      </c>
      <c r="HA167" s="26" t="s">
        <v>40</v>
      </c>
      <c r="HC167" s="26" t="s">
        <v>40</v>
      </c>
    </row>
    <row r="168" spans="101:211" x14ac:dyDescent="0.2">
      <c r="DA168" s="10" t="s">
        <v>40</v>
      </c>
      <c r="DC168" s="10" t="s">
        <v>40</v>
      </c>
      <c r="DE168" s="10" t="s">
        <v>40</v>
      </c>
      <c r="DG168" s="10" t="s">
        <v>40</v>
      </c>
      <c r="DI168" s="10" t="s">
        <v>40</v>
      </c>
      <c r="DK168" s="10" t="s">
        <v>40</v>
      </c>
      <c r="DM168" s="10" t="s">
        <v>40</v>
      </c>
      <c r="DO168" s="10" t="s">
        <v>40</v>
      </c>
      <c r="DQ168" s="10" t="s">
        <v>40</v>
      </c>
      <c r="DS168" s="10" t="s">
        <v>40</v>
      </c>
      <c r="DU168" s="10" t="s">
        <v>40</v>
      </c>
      <c r="DW168" s="10" t="s">
        <v>40</v>
      </c>
      <c r="DY168" s="10" t="s">
        <v>40</v>
      </c>
      <c r="EA168" s="10" t="s">
        <v>40</v>
      </c>
      <c r="EC168" s="10" t="s">
        <v>40</v>
      </c>
      <c r="EE168" s="10" t="s">
        <v>40</v>
      </c>
      <c r="EG168" s="10" t="s">
        <v>40</v>
      </c>
      <c r="EI168" s="10" t="s">
        <v>40</v>
      </c>
      <c r="EK168" s="10" t="s">
        <v>40</v>
      </c>
      <c r="EM168" s="10" t="s">
        <v>40</v>
      </c>
      <c r="EO168" s="10" t="s">
        <v>40</v>
      </c>
      <c r="EQ168" s="10" t="s">
        <v>40</v>
      </c>
      <c r="ES168" s="10" t="s">
        <v>40</v>
      </c>
      <c r="EU168" s="10" t="s">
        <v>40</v>
      </c>
      <c r="EW168" s="10" t="s">
        <v>40</v>
      </c>
      <c r="EY168" s="10" t="s">
        <v>40</v>
      </c>
      <c r="FA168" s="10" t="s">
        <v>40</v>
      </c>
      <c r="FC168" s="10" t="s">
        <v>40</v>
      </c>
      <c r="FE168" s="10" t="s">
        <v>40</v>
      </c>
      <c r="FG168" s="10" t="s">
        <v>40</v>
      </c>
      <c r="FI168" s="10" t="s">
        <v>40</v>
      </c>
      <c r="FK168" s="10" t="s">
        <v>40</v>
      </c>
      <c r="FM168" s="10" t="s">
        <v>40</v>
      </c>
      <c r="FO168" s="10" t="s">
        <v>40</v>
      </c>
      <c r="FQ168" s="10" t="s">
        <v>40</v>
      </c>
      <c r="FS168" s="10" t="s">
        <v>40</v>
      </c>
      <c r="FU168" s="10" t="s">
        <v>40</v>
      </c>
      <c r="FW168" s="10" t="s">
        <v>40</v>
      </c>
      <c r="FY168" s="10" t="s">
        <v>40</v>
      </c>
      <c r="GA168" s="10" t="s">
        <v>40</v>
      </c>
      <c r="GC168" s="10" t="s">
        <v>40</v>
      </c>
      <c r="GE168" s="10" t="s">
        <v>40</v>
      </c>
      <c r="GG168" s="10" t="s">
        <v>40</v>
      </c>
      <c r="GI168" s="10" t="s">
        <v>40</v>
      </c>
      <c r="GK168" s="10" t="s">
        <v>40</v>
      </c>
      <c r="GM168" s="10" t="s">
        <v>40</v>
      </c>
      <c r="GO168" s="10" t="s">
        <v>40</v>
      </c>
      <c r="GQ168" s="10" t="s">
        <v>40</v>
      </c>
      <c r="GS168" s="10" t="s">
        <v>40</v>
      </c>
      <c r="GU168" s="10" t="s">
        <v>40</v>
      </c>
      <c r="GW168" s="10" t="s">
        <v>40</v>
      </c>
      <c r="GY168" s="10" t="s">
        <v>40</v>
      </c>
      <c r="HA168" s="10" t="s">
        <v>40</v>
      </c>
      <c r="HC168" s="10" t="s">
        <v>40</v>
      </c>
    </row>
    <row r="170" spans="101:211" x14ac:dyDescent="0.2">
      <c r="DC170" s="26" t="s">
        <v>40</v>
      </c>
      <c r="DE170" s="26" t="s">
        <v>40</v>
      </c>
      <c r="DG170" s="26" t="s">
        <v>40</v>
      </c>
      <c r="DI170" s="26" t="s">
        <v>40</v>
      </c>
      <c r="DK170" s="26" t="s">
        <v>40</v>
      </c>
      <c r="DM170" s="26" t="s">
        <v>40</v>
      </c>
      <c r="DO170" s="26" t="s">
        <v>40</v>
      </c>
      <c r="DQ170" s="26" t="s">
        <v>40</v>
      </c>
      <c r="DS170" s="26" t="s">
        <v>40</v>
      </c>
      <c r="DU170" s="26" t="s">
        <v>40</v>
      </c>
      <c r="DW170" s="26" t="s">
        <v>40</v>
      </c>
      <c r="DY170" s="26" t="s">
        <v>40</v>
      </c>
      <c r="EA170" s="26" t="s">
        <v>40</v>
      </c>
      <c r="EC170" s="26" t="s">
        <v>40</v>
      </c>
      <c r="EE170" s="26" t="s">
        <v>40</v>
      </c>
      <c r="EG170" s="26" t="s">
        <v>40</v>
      </c>
      <c r="EI170" s="26" t="s">
        <v>40</v>
      </c>
      <c r="EK170" s="26" t="s">
        <v>40</v>
      </c>
      <c r="EM170" s="26" t="s">
        <v>40</v>
      </c>
      <c r="EO170" s="26" t="s">
        <v>40</v>
      </c>
      <c r="EQ170" s="26" t="s">
        <v>40</v>
      </c>
      <c r="ES170" s="26" t="s">
        <v>40</v>
      </c>
      <c r="EU170" s="26" t="s">
        <v>40</v>
      </c>
      <c r="EW170" s="26" t="s">
        <v>40</v>
      </c>
      <c r="EY170" s="26" t="s">
        <v>40</v>
      </c>
      <c r="FA170" s="26" t="s">
        <v>40</v>
      </c>
      <c r="FC170" s="26" t="s">
        <v>40</v>
      </c>
      <c r="FE170" s="26" t="s">
        <v>40</v>
      </c>
      <c r="FG170" s="26" t="s">
        <v>40</v>
      </c>
      <c r="FI170" s="26" t="s">
        <v>40</v>
      </c>
      <c r="FK170" s="26" t="s">
        <v>40</v>
      </c>
      <c r="FM170" s="26" t="s">
        <v>40</v>
      </c>
      <c r="FO170" s="26" t="s">
        <v>40</v>
      </c>
      <c r="FQ170" s="26" t="s">
        <v>40</v>
      </c>
      <c r="FS170" s="26" t="s">
        <v>40</v>
      </c>
      <c r="FU170" s="26" t="s">
        <v>40</v>
      </c>
      <c r="FW170" s="26" t="s">
        <v>40</v>
      </c>
      <c r="FY170" s="26" t="s">
        <v>40</v>
      </c>
      <c r="GA170" s="26" t="s">
        <v>40</v>
      </c>
      <c r="GC170" s="26" t="s">
        <v>40</v>
      </c>
      <c r="GE170" s="26" t="s">
        <v>40</v>
      </c>
      <c r="GG170" s="26" t="s">
        <v>40</v>
      </c>
      <c r="GI170" s="26" t="s">
        <v>40</v>
      </c>
      <c r="GK170" s="26" t="s">
        <v>40</v>
      </c>
      <c r="GM170" s="26" t="s">
        <v>40</v>
      </c>
      <c r="GO170" s="26" t="s">
        <v>40</v>
      </c>
      <c r="GQ170" s="26" t="s">
        <v>40</v>
      </c>
      <c r="GS170" s="26" t="s">
        <v>40</v>
      </c>
      <c r="GU170" s="26" t="s">
        <v>40</v>
      </c>
      <c r="GW170" s="26" t="s">
        <v>40</v>
      </c>
      <c r="GY170" s="26" t="s">
        <v>40</v>
      </c>
      <c r="HA170" s="26" t="s">
        <v>40</v>
      </c>
      <c r="HC170" s="26" t="s">
        <v>40</v>
      </c>
    </row>
    <row r="171" spans="101:211" x14ac:dyDescent="0.2">
      <c r="DC171" s="10" t="s">
        <v>40</v>
      </c>
      <c r="DE171" s="10" t="s">
        <v>40</v>
      </c>
      <c r="DG171" s="10" t="s">
        <v>40</v>
      </c>
      <c r="DI171" s="10" t="s">
        <v>40</v>
      </c>
      <c r="DK171" s="10" t="s">
        <v>40</v>
      </c>
      <c r="DM171" s="10" t="s">
        <v>40</v>
      </c>
      <c r="DO171" s="10" t="s">
        <v>40</v>
      </c>
      <c r="DQ171" s="10" t="s">
        <v>40</v>
      </c>
      <c r="DS171" s="10" t="s">
        <v>40</v>
      </c>
      <c r="DU171" s="10" t="s">
        <v>40</v>
      </c>
      <c r="DW171" s="10" t="s">
        <v>40</v>
      </c>
      <c r="DY171" s="10" t="s">
        <v>40</v>
      </c>
      <c r="EA171" s="10" t="s">
        <v>40</v>
      </c>
      <c r="EC171" s="10" t="s">
        <v>40</v>
      </c>
      <c r="EE171" s="10" t="s">
        <v>40</v>
      </c>
      <c r="EG171" s="10" t="s">
        <v>40</v>
      </c>
      <c r="EI171" s="10" t="s">
        <v>40</v>
      </c>
      <c r="EK171" s="10" t="s">
        <v>40</v>
      </c>
      <c r="EM171" s="10" t="s">
        <v>40</v>
      </c>
      <c r="EO171" s="10" t="s">
        <v>40</v>
      </c>
      <c r="EQ171" s="10" t="s">
        <v>40</v>
      </c>
      <c r="ES171" s="10" t="s">
        <v>40</v>
      </c>
      <c r="EU171" s="10" t="s">
        <v>40</v>
      </c>
      <c r="EW171" s="10" t="s">
        <v>40</v>
      </c>
      <c r="EY171" s="10" t="s">
        <v>40</v>
      </c>
      <c r="FA171" s="10" t="s">
        <v>40</v>
      </c>
      <c r="FC171" s="10" t="s">
        <v>40</v>
      </c>
      <c r="FE171" s="10" t="s">
        <v>40</v>
      </c>
      <c r="FG171" s="10" t="s">
        <v>40</v>
      </c>
      <c r="FI171" s="10" t="s">
        <v>40</v>
      </c>
      <c r="FK171" s="10" t="s">
        <v>40</v>
      </c>
      <c r="FM171" s="10" t="s">
        <v>40</v>
      </c>
      <c r="FO171" s="10" t="s">
        <v>40</v>
      </c>
      <c r="FQ171" s="10" t="s">
        <v>40</v>
      </c>
      <c r="FS171" s="10" t="s">
        <v>40</v>
      </c>
      <c r="FU171" s="10" t="s">
        <v>40</v>
      </c>
      <c r="FW171" s="10" t="s">
        <v>40</v>
      </c>
      <c r="FY171" s="10" t="s">
        <v>40</v>
      </c>
      <c r="GA171" s="10" t="s">
        <v>40</v>
      </c>
      <c r="GC171" s="10" t="s">
        <v>40</v>
      </c>
      <c r="GE171" s="10" t="s">
        <v>40</v>
      </c>
      <c r="GG171" s="10" t="s">
        <v>40</v>
      </c>
      <c r="GI171" s="10" t="s">
        <v>40</v>
      </c>
      <c r="GK171" s="10" t="s">
        <v>40</v>
      </c>
      <c r="GM171" s="10" t="s">
        <v>40</v>
      </c>
      <c r="GO171" s="10" t="s">
        <v>40</v>
      </c>
      <c r="GQ171" s="10" t="s">
        <v>40</v>
      </c>
      <c r="GS171" s="10" t="s">
        <v>40</v>
      </c>
      <c r="GU171" s="10" t="s">
        <v>40</v>
      </c>
      <c r="GW171" s="10" t="s">
        <v>40</v>
      </c>
      <c r="GY171" s="10" t="s">
        <v>40</v>
      </c>
      <c r="HA171" s="10" t="s">
        <v>40</v>
      </c>
      <c r="HC171" s="10" t="s">
        <v>40</v>
      </c>
    </row>
    <row r="173" spans="101:211" x14ac:dyDescent="0.2">
      <c r="DE173" s="26" t="s">
        <v>40</v>
      </c>
      <c r="DG173" s="26" t="s">
        <v>40</v>
      </c>
      <c r="DI173" s="26" t="s">
        <v>40</v>
      </c>
      <c r="DK173" s="26" t="s">
        <v>40</v>
      </c>
      <c r="DM173" s="26" t="s">
        <v>40</v>
      </c>
      <c r="DO173" s="26" t="s">
        <v>40</v>
      </c>
      <c r="DQ173" s="26" t="s">
        <v>40</v>
      </c>
      <c r="DS173" s="26" t="s">
        <v>40</v>
      </c>
      <c r="DU173" s="26" t="s">
        <v>40</v>
      </c>
      <c r="DW173" s="26" t="s">
        <v>40</v>
      </c>
      <c r="DY173" s="26" t="s">
        <v>40</v>
      </c>
      <c r="EA173" s="26" t="s">
        <v>40</v>
      </c>
      <c r="EC173" s="26" t="s">
        <v>40</v>
      </c>
      <c r="EE173" s="26" t="s">
        <v>40</v>
      </c>
      <c r="EG173" s="26" t="s">
        <v>40</v>
      </c>
      <c r="EI173" s="26" t="s">
        <v>40</v>
      </c>
      <c r="EK173" s="26" t="s">
        <v>40</v>
      </c>
      <c r="EM173" s="26" t="s">
        <v>40</v>
      </c>
      <c r="EO173" s="26" t="s">
        <v>40</v>
      </c>
      <c r="EQ173" s="26" t="s">
        <v>40</v>
      </c>
      <c r="ES173" s="26" t="s">
        <v>40</v>
      </c>
      <c r="EU173" s="26" t="s">
        <v>40</v>
      </c>
      <c r="EW173" s="26" t="s">
        <v>40</v>
      </c>
      <c r="EY173" s="26" t="s">
        <v>40</v>
      </c>
      <c r="FA173" s="26" t="s">
        <v>40</v>
      </c>
      <c r="FC173" s="26" t="s">
        <v>40</v>
      </c>
      <c r="FE173" s="26" t="s">
        <v>40</v>
      </c>
      <c r="FG173" s="26" t="s">
        <v>40</v>
      </c>
      <c r="FI173" s="26" t="s">
        <v>40</v>
      </c>
      <c r="FK173" s="26" t="s">
        <v>40</v>
      </c>
      <c r="FM173" s="26" t="s">
        <v>40</v>
      </c>
      <c r="FO173" s="26" t="s">
        <v>40</v>
      </c>
      <c r="FQ173" s="26" t="s">
        <v>40</v>
      </c>
      <c r="FS173" s="26" t="s">
        <v>40</v>
      </c>
      <c r="FU173" s="26" t="s">
        <v>40</v>
      </c>
      <c r="FW173" s="26" t="s">
        <v>40</v>
      </c>
      <c r="FY173" s="26" t="s">
        <v>40</v>
      </c>
      <c r="GA173" s="26" t="s">
        <v>40</v>
      </c>
      <c r="GC173" s="26" t="s">
        <v>40</v>
      </c>
      <c r="GE173" s="26" t="s">
        <v>40</v>
      </c>
      <c r="GG173" s="26" t="s">
        <v>40</v>
      </c>
      <c r="GI173" s="26" t="s">
        <v>40</v>
      </c>
      <c r="GK173" s="26" t="s">
        <v>40</v>
      </c>
      <c r="GM173" s="26" t="s">
        <v>40</v>
      </c>
      <c r="GO173" s="26" t="s">
        <v>40</v>
      </c>
      <c r="GQ173" s="26" t="s">
        <v>40</v>
      </c>
      <c r="GS173" s="26" t="s">
        <v>40</v>
      </c>
      <c r="GU173" s="26" t="s">
        <v>40</v>
      </c>
      <c r="GW173" s="26" t="s">
        <v>40</v>
      </c>
      <c r="GY173" s="26" t="s">
        <v>40</v>
      </c>
      <c r="HA173" s="26" t="s">
        <v>40</v>
      </c>
      <c r="HC173" s="26" t="s">
        <v>40</v>
      </c>
    </row>
    <row r="174" spans="101:211" x14ac:dyDescent="0.2">
      <c r="DE174" s="10" t="s">
        <v>40</v>
      </c>
      <c r="DG174" s="10" t="s">
        <v>40</v>
      </c>
      <c r="DI174" s="10" t="s">
        <v>40</v>
      </c>
      <c r="DK174" s="10" t="s">
        <v>40</v>
      </c>
      <c r="DM174" s="10" t="s">
        <v>40</v>
      </c>
      <c r="DO174" s="10" t="s">
        <v>40</v>
      </c>
      <c r="DQ174" s="10" t="s">
        <v>40</v>
      </c>
      <c r="DS174" s="10" t="s">
        <v>40</v>
      </c>
      <c r="DU174" s="10" t="s">
        <v>40</v>
      </c>
      <c r="DW174" s="10" t="s">
        <v>40</v>
      </c>
      <c r="DY174" s="10" t="s">
        <v>40</v>
      </c>
      <c r="EA174" s="10" t="s">
        <v>40</v>
      </c>
      <c r="EC174" s="10" t="s">
        <v>40</v>
      </c>
      <c r="EE174" s="10" t="s">
        <v>40</v>
      </c>
      <c r="EG174" s="10" t="s">
        <v>40</v>
      </c>
      <c r="EI174" s="10" t="s">
        <v>40</v>
      </c>
      <c r="EK174" s="10" t="s">
        <v>40</v>
      </c>
      <c r="EM174" s="10" t="s">
        <v>40</v>
      </c>
      <c r="EO174" s="10" t="s">
        <v>40</v>
      </c>
      <c r="EQ174" s="10" t="s">
        <v>40</v>
      </c>
      <c r="ES174" s="10" t="s">
        <v>40</v>
      </c>
      <c r="EU174" s="10" t="s">
        <v>40</v>
      </c>
      <c r="EW174" s="10" t="s">
        <v>40</v>
      </c>
      <c r="EY174" s="10" t="s">
        <v>40</v>
      </c>
      <c r="FA174" s="10" t="s">
        <v>40</v>
      </c>
      <c r="FC174" s="10" t="s">
        <v>40</v>
      </c>
      <c r="FE174" s="10" t="s">
        <v>40</v>
      </c>
      <c r="FG174" s="10" t="s">
        <v>40</v>
      </c>
      <c r="FI174" s="10" t="s">
        <v>40</v>
      </c>
      <c r="FK174" s="10" t="s">
        <v>40</v>
      </c>
      <c r="FM174" s="10" t="s">
        <v>40</v>
      </c>
      <c r="FO174" s="10" t="s">
        <v>40</v>
      </c>
      <c r="FQ174" s="10" t="s">
        <v>40</v>
      </c>
      <c r="FS174" s="10" t="s">
        <v>40</v>
      </c>
      <c r="FU174" s="10" t="s">
        <v>40</v>
      </c>
      <c r="FW174" s="10" t="s">
        <v>40</v>
      </c>
      <c r="FY174" s="10" t="s">
        <v>40</v>
      </c>
      <c r="GA174" s="10" t="s">
        <v>40</v>
      </c>
      <c r="GC174" s="10" t="s">
        <v>40</v>
      </c>
      <c r="GE174" s="10" t="s">
        <v>40</v>
      </c>
      <c r="GG174" s="10" t="s">
        <v>40</v>
      </c>
      <c r="GI174" s="10" t="s">
        <v>40</v>
      </c>
      <c r="GK174" s="10" t="s">
        <v>40</v>
      </c>
      <c r="GM174" s="10" t="s">
        <v>40</v>
      </c>
      <c r="GO174" s="10" t="s">
        <v>40</v>
      </c>
      <c r="GQ174" s="10" t="s">
        <v>40</v>
      </c>
      <c r="GS174" s="10" t="s">
        <v>40</v>
      </c>
      <c r="GU174" s="10" t="s">
        <v>40</v>
      </c>
      <c r="GW174" s="10" t="s">
        <v>40</v>
      </c>
      <c r="GY174" s="10" t="s">
        <v>40</v>
      </c>
      <c r="HA174" s="10" t="s">
        <v>40</v>
      </c>
      <c r="HC174" s="10" t="s">
        <v>40</v>
      </c>
    </row>
    <row r="176" spans="101:211" x14ac:dyDescent="0.2">
      <c r="DG176" s="26" t="s">
        <v>40</v>
      </c>
      <c r="DI176" s="26" t="s">
        <v>40</v>
      </c>
      <c r="DK176" s="26" t="s">
        <v>40</v>
      </c>
      <c r="DM176" s="26" t="s">
        <v>40</v>
      </c>
      <c r="DO176" s="26" t="s">
        <v>40</v>
      </c>
      <c r="DQ176" s="26" t="s">
        <v>40</v>
      </c>
      <c r="DS176" s="26" t="s">
        <v>40</v>
      </c>
      <c r="DU176" s="26" t="s">
        <v>40</v>
      </c>
      <c r="DW176" s="26" t="s">
        <v>40</v>
      </c>
      <c r="DY176" s="26" t="s">
        <v>40</v>
      </c>
      <c r="EA176" s="26" t="s">
        <v>40</v>
      </c>
      <c r="EC176" s="26" t="s">
        <v>40</v>
      </c>
      <c r="EE176" s="26" t="s">
        <v>40</v>
      </c>
      <c r="EG176" s="26" t="s">
        <v>40</v>
      </c>
      <c r="EI176" s="26" t="s">
        <v>40</v>
      </c>
      <c r="EK176" s="26" t="s">
        <v>40</v>
      </c>
      <c r="EM176" s="26" t="s">
        <v>40</v>
      </c>
      <c r="EO176" s="26" t="s">
        <v>40</v>
      </c>
      <c r="EQ176" s="26" t="s">
        <v>40</v>
      </c>
      <c r="ES176" s="26" t="s">
        <v>40</v>
      </c>
      <c r="EU176" s="26" t="s">
        <v>40</v>
      </c>
      <c r="EW176" s="26" t="s">
        <v>40</v>
      </c>
      <c r="EY176" s="26" t="s">
        <v>40</v>
      </c>
      <c r="FA176" s="26" t="s">
        <v>40</v>
      </c>
      <c r="FC176" s="26" t="s">
        <v>40</v>
      </c>
      <c r="FE176" s="26" t="s">
        <v>40</v>
      </c>
      <c r="FG176" s="26" t="s">
        <v>40</v>
      </c>
      <c r="FI176" s="26" t="s">
        <v>40</v>
      </c>
      <c r="FK176" s="26" t="s">
        <v>40</v>
      </c>
      <c r="FM176" s="26" t="s">
        <v>40</v>
      </c>
      <c r="FO176" s="26" t="s">
        <v>40</v>
      </c>
      <c r="FQ176" s="26" t="s">
        <v>40</v>
      </c>
      <c r="FS176" s="26" t="s">
        <v>40</v>
      </c>
      <c r="FU176" s="26" t="s">
        <v>40</v>
      </c>
      <c r="FW176" s="26" t="s">
        <v>40</v>
      </c>
      <c r="FY176" s="26" t="s">
        <v>40</v>
      </c>
      <c r="GA176" s="26" t="s">
        <v>40</v>
      </c>
      <c r="GC176" s="26" t="s">
        <v>40</v>
      </c>
      <c r="GE176" s="26" t="s">
        <v>40</v>
      </c>
      <c r="GG176" s="26" t="s">
        <v>40</v>
      </c>
      <c r="GI176" s="26" t="s">
        <v>40</v>
      </c>
      <c r="GK176" s="26" t="s">
        <v>40</v>
      </c>
      <c r="GM176" s="26" t="s">
        <v>40</v>
      </c>
      <c r="GO176" s="26" t="s">
        <v>40</v>
      </c>
      <c r="GQ176" s="26" t="s">
        <v>40</v>
      </c>
      <c r="GS176" s="26" t="s">
        <v>40</v>
      </c>
      <c r="GU176" s="26" t="s">
        <v>40</v>
      </c>
      <c r="GW176" s="26" t="s">
        <v>40</v>
      </c>
      <c r="GY176" s="26" t="s">
        <v>40</v>
      </c>
      <c r="HA176" s="26" t="s">
        <v>40</v>
      </c>
      <c r="HC176" s="26" t="s">
        <v>40</v>
      </c>
    </row>
    <row r="177" spans="111:211" x14ac:dyDescent="0.2">
      <c r="DG177" s="10" t="s">
        <v>40</v>
      </c>
      <c r="DI177" s="10" t="s">
        <v>40</v>
      </c>
      <c r="DK177" s="10" t="s">
        <v>40</v>
      </c>
      <c r="DM177" s="10" t="s">
        <v>40</v>
      </c>
      <c r="DO177" s="10" t="s">
        <v>40</v>
      </c>
      <c r="DQ177" s="10" t="s">
        <v>40</v>
      </c>
      <c r="DS177" s="10" t="s">
        <v>40</v>
      </c>
      <c r="DU177" s="10" t="s">
        <v>40</v>
      </c>
      <c r="DW177" s="10" t="s">
        <v>40</v>
      </c>
      <c r="DY177" s="10" t="s">
        <v>40</v>
      </c>
      <c r="EA177" s="10" t="s">
        <v>40</v>
      </c>
      <c r="EC177" s="10" t="s">
        <v>40</v>
      </c>
      <c r="EE177" s="10" t="s">
        <v>40</v>
      </c>
      <c r="EG177" s="10" t="s">
        <v>40</v>
      </c>
      <c r="EI177" s="10" t="s">
        <v>40</v>
      </c>
      <c r="EK177" s="10" t="s">
        <v>40</v>
      </c>
      <c r="EM177" s="10" t="s">
        <v>40</v>
      </c>
      <c r="EO177" s="10" t="s">
        <v>40</v>
      </c>
      <c r="EQ177" s="10" t="s">
        <v>40</v>
      </c>
      <c r="ES177" s="10" t="s">
        <v>40</v>
      </c>
      <c r="EU177" s="10" t="s">
        <v>40</v>
      </c>
      <c r="EW177" s="10" t="s">
        <v>40</v>
      </c>
      <c r="EY177" s="10" t="s">
        <v>40</v>
      </c>
      <c r="FA177" s="10" t="s">
        <v>40</v>
      </c>
      <c r="FC177" s="10" t="s">
        <v>40</v>
      </c>
      <c r="FE177" s="10" t="s">
        <v>40</v>
      </c>
      <c r="FG177" s="10" t="s">
        <v>40</v>
      </c>
      <c r="FI177" s="10" t="s">
        <v>40</v>
      </c>
      <c r="FK177" s="10" t="s">
        <v>40</v>
      </c>
      <c r="FM177" s="10" t="s">
        <v>40</v>
      </c>
      <c r="FO177" s="10" t="s">
        <v>40</v>
      </c>
      <c r="FQ177" s="10" t="s">
        <v>40</v>
      </c>
      <c r="FS177" s="10" t="s">
        <v>40</v>
      </c>
      <c r="FU177" s="10" t="s">
        <v>40</v>
      </c>
      <c r="FW177" s="10" t="s">
        <v>40</v>
      </c>
      <c r="FY177" s="10" t="s">
        <v>40</v>
      </c>
      <c r="GA177" s="10" t="s">
        <v>40</v>
      </c>
      <c r="GC177" s="10" t="s">
        <v>40</v>
      </c>
      <c r="GE177" s="10" t="s">
        <v>40</v>
      </c>
      <c r="GG177" s="10" t="s">
        <v>40</v>
      </c>
      <c r="GI177" s="10" t="s">
        <v>40</v>
      </c>
      <c r="GK177" s="10" t="s">
        <v>40</v>
      </c>
      <c r="GM177" s="10" t="s">
        <v>40</v>
      </c>
      <c r="GO177" s="10" t="s">
        <v>40</v>
      </c>
      <c r="GQ177" s="10" t="s">
        <v>40</v>
      </c>
      <c r="GS177" s="10" t="s">
        <v>40</v>
      </c>
      <c r="GU177" s="10" t="s">
        <v>40</v>
      </c>
      <c r="GW177" s="10" t="s">
        <v>40</v>
      </c>
      <c r="GY177" s="10" t="s">
        <v>40</v>
      </c>
      <c r="HA177" s="10" t="s">
        <v>40</v>
      </c>
      <c r="HC177" s="10" t="s">
        <v>40</v>
      </c>
    </row>
    <row r="179" spans="111:211" x14ac:dyDescent="0.2">
      <c r="DI179" s="26" t="s">
        <v>40</v>
      </c>
      <c r="DK179" s="26" t="s">
        <v>40</v>
      </c>
      <c r="DM179" s="26" t="s">
        <v>40</v>
      </c>
      <c r="DO179" s="26" t="s">
        <v>40</v>
      </c>
      <c r="DQ179" s="26" t="s">
        <v>40</v>
      </c>
      <c r="DS179" s="26" t="s">
        <v>40</v>
      </c>
      <c r="DU179" s="26" t="s">
        <v>40</v>
      </c>
      <c r="DW179" s="26" t="s">
        <v>40</v>
      </c>
      <c r="DY179" s="26" t="s">
        <v>40</v>
      </c>
      <c r="EA179" s="26" t="s">
        <v>40</v>
      </c>
      <c r="EC179" s="26" t="s">
        <v>40</v>
      </c>
      <c r="EE179" s="26" t="s">
        <v>40</v>
      </c>
      <c r="EG179" s="26" t="s">
        <v>40</v>
      </c>
      <c r="EI179" s="26" t="s">
        <v>40</v>
      </c>
      <c r="EK179" s="26" t="s">
        <v>40</v>
      </c>
      <c r="EM179" s="26" t="s">
        <v>40</v>
      </c>
      <c r="EO179" s="26" t="s">
        <v>40</v>
      </c>
      <c r="EQ179" s="26" t="s">
        <v>40</v>
      </c>
      <c r="ES179" s="26" t="s">
        <v>40</v>
      </c>
      <c r="EU179" s="26" t="s">
        <v>40</v>
      </c>
      <c r="EW179" s="26" t="s">
        <v>40</v>
      </c>
      <c r="EY179" s="26" t="s">
        <v>40</v>
      </c>
      <c r="FA179" s="26" t="s">
        <v>40</v>
      </c>
      <c r="FC179" s="26" t="s">
        <v>40</v>
      </c>
      <c r="FE179" s="26" t="s">
        <v>40</v>
      </c>
      <c r="FG179" s="26" t="s">
        <v>40</v>
      </c>
      <c r="FI179" s="26" t="s">
        <v>40</v>
      </c>
      <c r="FK179" s="26" t="s">
        <v>40</v>
      </c>
      <c r="FM179" s="26" t="s">
        <v>40</v>
      </c>
      <c r="FO179" s="26" t="s">
        <v>40</v>
      </c>
      <c r="FQ179" s="26" t="s">
        <v>40</v>
      </c>
      <c r="FS179" s="26" t="s">
        <v>40</v>
      </c>
      <c r="FU179" s="26" t="s">
        <v>40</v>
      </c>
      <c r="FW179" s="26" t="s">
        <v>40</v>
      </c>
      <c r="FY179" s="26" t="s">
        <v>40</v>
      </c>
      <c r="GA179" s="26" t="s">
        <v>40</v>
      </c>
      <c r="GC179" s="26" t="s">
        <v>40</v>
      </c>
      <c r="GE179" s="26" t="s">
        <v>40</v>
      </c>
      <c r="GG179" s="26" t="s">
        <v>40</v>
      </c>
      <c r="GI179" s="26" t="s">
        <v>40</v>
      </c>
      <c r="GK179" s="26" t="s">
        <v>40</v>
      </c>
      <c r="GM179" s="26" t="s">
        <v>40</v>
      </c>
      <c r="GO179" s="26" t="s">
        <v>40</v>
      </c>
      <c r="GQ179" s="26" t="s">
        <v>40</v>
      </c>
      <c r="GS179" s="26" t="s">
        <v>40</v>
      </c>
      <c r="GU179" s="26" t="s">
        <v>40</v>
      </c>
      <c r="GW179" s="26" t="s">
        <v>40</v>
      </c>
      <c r="GY179" s="26" t="s">
        <v>40</v>
      </c>
      <c r="HA179" s="26" t="s">
        <v>40</v>
      </c>
      <c r="HC179" s="26" t="s">
        <v>40</v>
      </c>
    </row>
    <row r="180" spans="111:211" x14ac:dyDescent="0.2">
      <c r="DI180" s="10" t="s">
        <v>40</v>
      </c>
      <c r="DK180" s="10" t="s">
        <v>40</v>
      </c>
      <c r="DM180" s="10" t="s">
        <v>40</v>
      </c>
      <c r="DO180" s="10" t="s">
        <v>40</v>
      </c>
      <c r="DQ180" s="10" t="s">
        <v>40</v>
      </c>
      <c r="DS180" s="10" t="s">
        <v>40</v>
      </c>
      <c r="DU180" s="10" t="s">
        <v>40</v>
      </c>
      <c r="DW180" s="10" t="s">
        <v>40</v>
      </c>
      <c r="DY180" s="10" t="s">
        <v>40</v>
      </c>
      <c r="EA180" s="10" t="s">
        <v>40</v>
      </c>
      <c r="EC180" s="10" t="s">
        <v>40</v>
      </c>
      <c r="EE180" s="10" t="s">
        <v>40</v>
      </c>
      <c r="EG180" s="10" t="s">
        <v>40</v>
      </c>
      <c r="EI180" s="10" t="s">
        <v>40</v>
      </c>
      <c r="EK180" s="10" t="s">
        <v>40</v>
      </c>
      <c r="EM180" s="10" t="s">
        <v>40</v>
      </c>
      <c r="EO180" s="10" t="s">
        <v>40</v>
      </c>
      <c r="EQ180" s="10" t="s">
        <v>40</v>
      </c>
      <c r="ES180" s="10" t="s">
        <v>40</v>
      </c>
      <c r="EU180" s="10" t="s">
        <v>40</v>
      </c>
      <c r="EW180" s="10" t="s">
        <v>40</v>
      </c>
      <c r="EY180" s="10" t="s">
        <v>40</v>
      </c>
      <c r="FA180" s="10" t="s">
        <v>40</v>
      </c>
      <c r="FC180" s="10" t="s">
        <v>40</v>
      </c>
      <c r="FE180" s="10" t="s">
        <v>40</v>
      </c>
      <c r="FG180" s="10" t="s">
        <v>40</v>
      </c>
      <c r="FI180" s="10" t="s">
        <v>40</v>
      </c>
      <c r="FK180" s="10" t="s">
        <v>40</v>
      </c>
      <c r="FM180" s="10" t="s">
        <v>40</v>
      </c>
      <c r="FO180" s="10" t="s">
        <v>40</v>
      </c>
      <c r="FQ180" s="10" t="s">
        <v>40</v>
      </c>
      <c r="FS180" s="10" t="s">
        <v>40</v>
      </c>
      <c r="FU180" s="10" t="s">
        <v>40</v>
      </c>
      <c r="FW180" s="10" t="s">
        <v>40</v>
      </c>
      <c r="FY180" s="10" t="s">
        <v>40</v>
      </c>
      <c r="GA180" s="10" t="s">
        <v>40</v>
      </c>
      <c r="GC180" s="10" t="s">
        <v>40</v>
      </c>
      <c r="GE180" s="10" t="s">
        <v>40</v>
      </c>
      <c r="GG180" s="10" t="s">
        <v>40</v>
      </c>
      <c r="GI180" s="10" t="s">
        <v>40</v>
      </c>
      <c r="GK180" s="10" t="s">
        <v>40</v>
      </c>
      <c r="GM180" s="10" t="s">
        <v>40</v>
      </c>
      <c r="GO180" s="10" t="s">
        <v>40</v>
      </c>
      <c r="GQ180" s="10" t="s">
        <v>40</v>
      </c>
      <c r="GS180" s="10" t="s">
        <v>40</v>
      </c>
      <c r="GU180" s="10" t="s">
        <v>40</v>
      </c>
      <c r="GW180" s="10" t="s">
        <v>40</v>
      </c>
      <c r="GY180" s="10" t="s">
        <v>40</v>
      </c>
      <c r="HA180" s="10" t="s">
        <v>40</v>
      </c>
      <c r="HC180" s="10" t="s">
        <v>40</v>
      </c>
    </row>
    <row r="182" spans="111:211" x14ac:dyDescent="0.2">
      <c r="DK182" s="26" t="s">
        <v>40</v>
      </c>
      <c r="DM182" s="26" t="s">
        <v>40</v>
      </c>
      <c r="DO182" s="26" t="s">
        <v>40</v>
      </c>
      <c r="DQ182" s="26" t="s">
        <v>40</v>
      </c>
      <c r="DS182" s="26" t="s">
        <v>40</v>
      </c>
      <c r="DU182" s="26" t="s">
        <v>40</v>
      </c>
      <c r="DW182" s="26" t="s">
        <v>40</v>
      </c>
      <c r="DY182" s="26" t="s">
        <v>40</v>
      </c>
      <c r="EA182" s="26" t="s">
        <v>40</v>
      </c>
      <c r="EC182" s="26" t="s">
        <v>40</v>
      </c>
      <c r="EE182" s="26" t="s">
        <v>40</v>
      </c>
      <c r="EG182" s="26" t="s">
        <v>40</v>
      </c>
      <c r="EI182" s="26" t="s">
        <v>40</v>
      </c>
      <c r="EK182" s="26" t="s">
        <v>40</v>
      </c>
      <c r="EM182" s="26" t="s">
        <v>40</v>
      </c>
      <c r="EO182" s="26" t="s">
        <v>40</v>
      </c>
      <c r="EQ182" s="26" t="s">
        <v>40</v>
      </c>
      <c r="ES182" s="26" t="s">
        <v>40</v>
      </c>
      <c r="EU182" s="26" t="s">
        <v>40</v>
      </c>
      <c r="EW182" s="26" t="s">
        <v>40</v>
      </c>
      <c r="EY182" s="26" t="s">
        <v>40</v>
      </c>
      <c r="FA182" s="26" t="s">
        <v>40</v>
      </c>
      <c r="FC182" s="26" t="s">
        <v>40</v>
      </c>
      <c r="FE182" s="26" t="s">
        <v>40</v>
      </c>
      <c r="FG182" s="26" t="s">
        <v>40</v>
      </c>
      <c r="FI182" s="26" t="s">
        <v>40</v>
      </c>
      <c r="FK182" s="26" t="s">
        <v>40</v>
      </c>
      <c r="FM182" s="26" t="s">
        <v>40</v>
      </c>
      <c r="FO182" s="26" t="s">
        <v>40</v>
      </c>
      <c r="FQ182" s="26" t="s">
        <v>40</v>
      </c>
      <c r="FS182" s="26" t="s">
        <v>40</v>
      </c>
      <c r="FU182" s="26" t="s">
        <v>40</v>
      </c>
      <c r="FW182" s="26" t="s">
        <v>40</v>
      </c>
      <c r="FY182" s="26" t="s">
        <v>40</v>
      </c>
      <c r="GA182" s="26" t="s">
        <v>40</v>
      </c>
      <c r="GC182" s="26" t="s">
        <v>40</v>
      </c>
      <c r="GE182" s="26" t="s">
        <v>40</v>
      </c>
      <c r="GG182" s="26" t="s">
        <v>40</v>
      </c>
      <c r="GI182" s="26" t="s">
        <v>40</v>
      </c>
      <c r="GK182" s="26" t="s">
        <v>40</v>
      </c>
      <c r="GM182" s="26" t="s">
        <v>40</v>
      </c>
      <c r="GO182" s="26" t="s">
        <v>40</v>
      </c>
      <c r="GQ182" s="26" t="s">
        <v>40</v>
      </c>
      <c r="GS182" s="26" t="s">
        <v>40</v>
      </c>
      <c r="GU182" s="26" t="s">
        <v>40</v>
      </c>
      <c r="GW182" s="26" t="s">
        <v>40</v>
      </c>
      <c r="GY182" s="26" t="s">
        <v>40</v>
      </c>
      <c r="HA182" s="26" t="s">
        <v>40</v>
      </c>
      <c r="HC182" s="26" t="s">
        <v>40</v>
      </c>
    </row>
    <row r="183" spans="111:211" x14ac:dyDescent="0.2">
      <c r="DK183" s="10" t="s">
        <v>40</v>
      </c>
      <c r="DM183" s="10" t="s">
        <v>40</v>
      </c>
      <c r="DO183" s="10" t="s">
        <v>40</v>
      </c>
      <c r="DQ183" s="10" t="s">
        <v>40</v>
      </c>
      <c r="DS183" s="10" t="s">
        <v>40</v>
      </c>
      <c r="DU183" s="10" t="s">
        <v>40</v>
      </c>
      <c r="DW183" s="10" t="s">
        <v>40</v>
      </c>
      <c r="DY183" s="10" t="s">
        <v>40</v>
      </c>
      <c r="EA183" s="10" t="s">
        <v>40</v>
      </c>
      <c r="EC183" s="10" t="s">
        <v>40</v>
      </c>
      <c r="EE183" s="10" t="s">
        <v>40</v>
      </c>
      <c r="EG183" s="10" t="s">
        <v>40</v>
      </c>
      <c r="EI183" s="10" t="s">
        <v>40</v>
      </c>
      <c r="EK183" s="10" t="s">
        <v>40</v>
      </c>
      <c r="EM183" s="10" t="s">
        <v>40</v>
      </c>
      <c r="EO183" s="10" t="s">
        <v>40</v>
      </c>
      <c r="EQ183" s="10" t="s">
        <v>40</v>
      </c>
      <c r="ES183" s="10" t="s">
        <v>40</v>
      </c>
      <c r="EU183" s="10" t="s">
        <v>40</v>
      </c>
      <c r="EW183" s="10" t="s">
        <v>40</v>
      </c>
      <c r="EY183" s="10" t="s">
        <v>40</v>
      </c>
      <c r="FA183" s="10" t="s">
        <v>40</v>
      </c>
      <c r="FC183" s="10" t="s">
        <v>40</v>
      </c>
      <c r="FE183" s="10" t="s">
        <v>40</v>
      </c>
      <c r="FG183" s="10" t="s">
        <v>40</v>
      </c>
      <c r="FI183" s="10" t="s">
        <v>40</v>
      </c>
      <c r="FK183" s="10" t="s">
        <v>40</v>
      </c>
      <c r="FM183" s="10" t="s">
        <v>40</v>
      </c>
      <c r="FO183" s="10" t="s">
        <v>40</v>
      </c>
      <c r="FQ183" s="10" t="s">
        <v>40</v>
      </c>
      <c r="FS183" s="10" t="s">
        <v>40</v>
      </c>
      <c r="FU183" s="10" t="s">
        <v>40</v>
      </c>
      <c r="FW183" s="10" t="s">
        <v>40</v>
      </c>
      <c r="FY183" s="10" t="s">
        <v>40</v>
      </c>
      <c r="GA183" s="10" t="s">
        <v>40</v>
      </c>
      <c r="GC183" s="10" t="s">
        <v>40</v>
      </c>
      <c r="GE183" s="10" t="s">
        <v>40</v>
      </c>
      <c r="GG183" s="10" t="s">
        <v>40</v>
      </c>
      <c r="GI183" s="10" t="s">
        <v>40</v>
      </c>
      <c r="GK183" s="10" t="s">
        <v>40</v>
      </c>
      <c r="GM183" s="10" t="s">
        <v>40</v>
      </c>
      <c r="GO183" s="10" t="s">
        <v>40</v>
      </c>
      <c r="GQ183" s="10" t="s">
        <v>40</v>
      </c>
      <c r="GS183" s="10" t="s">
        <v>40</v>
      </c>
      <c r="GU183" s="10" t="s">
        <v>40</v>
      </c>
      <c r="GW183" s="10" t="s">
        <v>40</v>
      </c>
      <c r="GY183" s="10" t="s">
        <v>40</v>
      </c>
      <c r="HA183" s="10" t="s">
        <v>40</v>
      </c>
      <c r="HC183" s="10" t="s">
        <v>40</v>
      </c>
    </row>
    <row r="185" spans="111:211" x14ac:dyDescent="0.2">
      <c r="DM185" s="26" t="s">
        <v>40</v>
      </c>
      <c r="DO185" s="26" t="s">
        <v>40</v>
      </c>
      <c r="DQ185" s="26" t="s">
        <v>40</v>
      </c>
      <c r="DS185" s="26" t="s">
        <v>40</v>
      </c>
      <c r="DU185" s="26" t="s">
        <v>40</v>
      </c>
      <c r="DW185" s="26" t="s">
        <v>40</v>
      </c>
      <c r="DY185" s="26" t="s">
        <v>40</v>
      </c>
      <c r="EA185" s="26" t="s">
        <v>40</v>
      </c>
      <c r="EC185" s="26" t="s">
        <v>40</v>
      </c>
      <c r="EE185" s="26" t="s">
        <v>40</v>
      </c>
      <c r="EG185" s="26" t="s">
        <v>40</v>
      </c>
      <c r="EI185" s="26" t="s">
        <v>40</v>
      </c>
      <c r="EK185" s="26" t="s">
        <v>40</v>
      </c>
      <c r="EM185" s="26" t="s">
        <v>40</v>
      </c>
      <c r="EO185" s="26" t="s">
        <v>40</v>
      </c>
      <c r="EQ185" s="26" t="s">
        <v>40</v>
      </c>
      <c r="ES185" s="26" t="s">
        <v>40</v>
      </c>
      <c r="EU185" s="26" t="s">
        <v>40</v>
      </c>
      <c r="EW185" s="26" t="s">
        <v>40</v>
      </c>
      <c r="EY185" s="26" t="s">
        <v>40</v>
      </c>
      <c r="FA185" s="26" t="s">
        <v>40</v>
      </c>
      <c r="FC185" s="26" t="s">
        <v>40</v>
      </c>
      <c r="FE185" s="26" t="s">
        <v>40</v>
      </c>
      <c r="FG185" s="26" t="s">
        <v>40</v>
      </c>
      <c r="FI185" s="26" t="s">
        <v>40</v>
      </c>
      <c r="FK185" s="26" t="s">
        <v>40</v>
      </c>
      <c r="FM185" s="26" t="s">
        <v>40</v>
      </c>
      <c r="FO185" s="26" t="s">
        <v>40</v>
      </c>
      <c r="FQ185" s="26" t="s">
        <v>40</v>
      </c>
      <c r="FS185" s="26" t="s">
        <v>40</v>
      </c>
      <c r="FU185" s="26" t="s">
        <v>40</v>
      </c>
      <c r="FW185" s="26" t="s">
        <v>40</v>
      </c>
      <c r="FY185" s="26" t="s">
        <v>40</v>
      </c>
      <c r="GA185" s="26" t="s">
        <v>40</v>
      </c>
      <c r="GC185" s="26" t="s">
        <v>40</v>
      </c>
      <c r="GE185" s="26" t="s">
        <v>40</v>
      </c>
      <c r="GG185" s="26" t="s">
        <v>40</v>
      </c>
      <c r="GI185" s="26" t="s">
        <v>40</v>
      </c>
      <c r="GK185" s="26" t="s">
        <v>40</v>
      </c>
      <c r="GM185" s="26" t="s">
        <v>40</v>
      </c>
      <c r="GO185" s="26" t="s">
        <v>40</v>
      </c>
      <c r="GQ185" s="26" t="s">
        <v>40</v>
      </c>
      <c r="GS185" s="26" t="s">
        <v>40</v>
      </c>
      <c r="GU185" s="26" t="s">
        <v>40</v>
      </c>
      <c r="GW185" s="26" t="s">
        <v>40</v>
      </c>
      <c r="GY185" s="26" t="s">
        <v>40</v>
      </c>
      <c r="HA185" s="26" t="s">
        <v>40</v>
      </c>
      <c r="HC185" s="26" t="s">
        <v>40</v>
      </c>
    </row>
    <row r="186" spans="111:211" x14ac:dyDescent="0.2">
      <c r="DM186" s="10" t="s">
        <v>40</v>
      </c>
      <c r="DO186" s="10" t="s">
        <v>40</v>
      </c>
      <c r="DQ186" s="10" t="s">
        <v>40</v>
      </c>
      <c r="DS186" s="10" t="s">
        <v>40</v>
      </c>
      <c r="DU186" s="10" t="s">
        <v>40</v>
      </c>
      <c r="DW186" s="10" t="s">
        <v>40</v>
      </c>
      <c r="DY186" s="10" t="s">
        <v>40</v>
      </c>
      <c r="EA186" s="10" t="s">
        <v>40</v>
      </c>
      <c r="EC186" s="10" t="s">
        <v>40</v>
      </c>
      <c r="EE186" s="10" t="s">
        <v>40</v>
      </c>
      <c r="EG186" s="10" t="s">
        <v>40</v>
      </c>
      <c r="EI186" s="10" t="s">
        <v>40</v>
      </c>
      <c r="EK186" s="10" t="s">
        <v>40</v>
      </c>
      <c r="EM186" s="10" t="s">
        <v>40</v>
      </c>
      <c r="EO186" s="10" t="s">
        <v>40</v>
      </c>
      <c r="EQ186" s="10" t="s">
        <v>40</v>
      </c>
      <c r="ES186" s="10" t="s">
        <v>40</v>
      </c>
      <c r="EU186" s="10" t="s">
        <v>40</v>
      </c>
      <c r="EW186" s="10" t="s">
        <v>40</v>
      </c>
      <c r="EY186" s="10" t="s">
        <v>40</v>
      </c>
      <c r="FA186" s="10" t="s">
        <v>40</v>
      </c>
      <c r="FC186" s="10" t="s">
        <v>40</v>
      </c>
      <c r="FE186" s="10" t="s">
        <v>40</v>
      </c>
      <c r="FG186" s="10" t="s">
        <v>40</v>
      </c>
      <c r="FI186" s="10" t="s">
        <v>40</v>
      </c>
      <c r="FK186" s="10" t="s">
        <v>40</v>
      </c>
      <c r="FM186" s="10" t="s">
        <v>40</v>
      </c>
      <c r="FO186" s="10" t="s">
        <v>40</v>
      </c>
      <c r="FQ186" s="10" t="s">
        <v>40</v>
      </c>
      <c r="FS186" s="10" t="s">
        <v>40</v>
      </c>
      <c r="FU186" s="10" t="s">
        <v>40</v>
      </c>
      <c r="FW186" s="10" t="s">
        <v>40</v>
      </c>
      <c r="FY186" s="10" t="s">
        <v>40</v>
      </c>
      <c r="GA186" s="10" t="s">
        <v>40</v>
      </c>
      <c r="GC186" s="10" t="s">
        <v>40</v>
      </c>
      <c r="GE186" s="10" t="s">
        <v>40</v>
      </c>
      <c r="GG186" s="10" t="s">
        <v>40</v>
      </c>
      <c r="GI186" s="10" t="s">
        <v>40</v>
      </c>
      <c r="GK186" s="10" t="s">
        <v>40</v>
      </c>
      <c r="GM186" s="10" t="s">
        <v>40</v>
      </c>
      <c r="GO186" s="10" t="s">
        <v>40</v>
      </c>
      <c r="GQ186" s="10" t="s">
        <v>40</v>
      </c>
      <c r="GS186" s="10" t="s">
        <v>40</v>
      </c>
      <c r="GU186" s="10" t="s">
        <v>40</v>
      </c>
      <c r="GW186" s="10" t="s">
        <v>40</v>
      </c>
      <c r="GY186" s="10" t="s">
        <v>40</v>
      </c>
      <c r="HA186" s="10" t="s">
        <v>40</v>
      </c>
      <c r="HC186" s="10" t="s">
        <v>40</v>
      </c>
    </row>
    <row r="188" spans="111:211" x14ac:dyDescent="0.2">
      <c r="DO188" s="26" t="s">
        <v>40</v>
      </c>
      <c r="DQ188" s="26" t="s">
        <v>40</v>
      </c>
      <c r="DS188" s="26" t="s">
        <v>40</v>
      </c>
      <c r="DU188" s="26" t="s">
        <v>40</v>
      </c>
      <c r="DW188" s="26" t="s">
        <v>40</v>
      </c>
      <c r="DY188" s="26" t="s">
        <v>40</v>
      </c>
      <c r="EA188" s="26" t="s">
        <v>40</v>
      </c>
      <c r="EC188" s="26" t="s">
        <v>40</v>
      </c>
      <c r="EE188" s="26" t="s">
        <v>40</v>
      </c>
      <c r="EG188" s="26" t="s">
        <v>40</v>
      </c>
      <c r="EI188" s="26" t="s">
        <v>40</v>
      </c>
      <c r="EK188" s="26" t="s">
        <v>40</v>
      </c>
      <c r="EM188" s="26" t="s">
        <v>40</v>
      </c>
      <c r="EO188" s="26" t="s">
        <v>40</v>
      </c>
      <c r="EQ188" s="26" t="s">
        <v>40</v>
      </c>
      <c r="ES188" s="26" t="s">
        <v>40</v>
      </c>
      <c r="EU188" s="26" t="s">
        <v>40</v>
      </c>
      <c r="EW188" s="26" t="s">
        <v>40</v>
      </c>
      <c r="EY188" s="26" t="s">
        <v>40</v>
      </c>
      <c r="FA188" s="26" t="s">
        <v>40</v>
      </c>
      <c r="FC188" s="26" t="s">
        <v>40</v>
      </c>
      <c r="FE188" s="26" t="s">
        <v>40</v>
      </c>
      <c r="FG188" s="26" t="s">
        <v>40</v>
      </c>
      <c r="FI188" s="26" t="s">
        <v>40</v>
      </c>
      <c r="FK188" s="26" t="s">
        <v>40</v>
      </c>
      <c r="FM188" s="26" t="s">
        <v>40</v>
      </c>
      <c r="FO188" s="26" t="s">
        <v>40</v>
      </c>
      <c r="FQ188" s="26" t="s">
        <v>40</v>
      </c>
      <c r="FS188" s="26" t="s">
        <v>40</v>
      </c>
      <c r="FU188" s="26" t="s">
        <v>40</v>
      </c>
      <c r="FW188" s="26" t="s">
        <v>40</v>
      </c>
      <c r="FY188" s="26" t="s">
        <v>40</v>
      </c>
      <c r="GA188" s="26" t="s">
        <v>40</v>
      </c>
      <c r="GC188" s="26" t="s">
        <v>40</v>
      </c>
      <c r="GE188" s="26" t="s">
        <v>40</v>
      </c>
      <c r="GG188" s="26" t="s">
        <v>40</v>
      </c>
      <c r="GI188" s="26" t="s">
        <v>40</v>
      </c>
      <c r="GK188" s="26" t="s">
        <v>40</v>
      </c>
      <c r="GM188" s="26" t="s">
        <v>40</v>
      </c>
      <c r="GO188" s="26" t="s">
        <v>40</v>
      </c>
      <c r="GQ188" s="26" t="s">
        <v>40</v>
      </c>
      <c r="GS188" s="26" t="s">
        <v>40</v>
      </c>
      <c r="GU188" s="26" t="s">
        <v>40</v>
      </c>
      <c r="GW188" s="26" t="s">
        <v>40</v>
      </c>
      <c r="GY188" s="26" t="s">
        <v>40</v>
      </c>
      <c r="HA188" s="26" t="s">
        <v>40</v>
      </c>
      <c r="HC188" s="26" t="s">
        <v>40</v>
      </c>
    </row>
    <row r="189" spans="111:211" x14ac:dyDescent="0.2">
      <c r="DO189" s="10" t="s">
        <v>40</v>
      </c>
      <c r="DQ189" s="10" t="s">
        <v>40</v>
      </c>
      <c r="DS189" s="10" t="s">
        <v>40</v>
      </c>
      <c r="DU189" s="10" t="s">
        <v>40</v>
      </c>
      <c r="DW189" s="10" t="s">
        <v>40</v>
      </c>
      <c r="DY189" s="10" t="s">
        <v>40</v>
      </c>
      <c r="EA189" s="10" t="s">
        <v>40</v>
      </c>
      <c r="EC189" s="10" t="s">
        <v>40</v>
      </c>
      <c r="EE189" s="10" t="s">
        <v>40</v>
      </c>
      <c r="EG189" s="10" t="s">
        <v>40</v>
      </c>
      <c r="EI189" s="10" t="s">
        <v>40</v>
      </c>
      <c r="EK189" s="10" t="s">
        <v>40</v>
      </c>
      <c r="EM189" s="10" t="s">
        <v>40</v>
      </c>
      <c r="EO189" s="10" t="s">
        <v>40</v>
      </c>
      <c r="EQ189" s="10" t="s">
        <v>40</v>
      </c>
      <c r="ES189" s="10" t="s">
        <v>40</v>
      </c>
      <c r="EU189" s="10" t="s">
        <v>40</v>
      </c>
      <c r="EW189" s="10" t="s">
        <v>40</v>
      </c>
      <c r="EY189" s="10" t="s">
        <v>40</v>
      </c>
      <c r="FA189" s="10" t="s">
        <v>40</v>
      </c>
      <c r="FC189" s="10" t="s">
        <v>40</v>
      </c>
      <c r="FE189" s="10" t="s">
        <v>40</v>
      </c>
      <c r="FG189" s="10" t="s">
        <v>40</v>
      </c>
      <c r="FI189" s="10" t="s">
        <v>40</v>
      </c>
      <c r="FK189" s="10" t="s">
        <v>40</v>
      </c>
      <c r="FM189" s="10" t="s">
        <v>40</v>
      </c>
      <c r="FO189" s="10" t="s">
        <v>40</v>
      </c>
      <c r="FQ189" s="10" t="s">
        <v>40</v>
      </c>
      <c r="FS189" s="10" t="s">
        <v>40</v>
      </c>
      <c r="FU189" s="10" t="s">
        <v>40</v>
      </c>
      <c r="FW189" s="10" t="s">
        <v>40</v>
      </c>
      <c r="FY189" s="10" t="s">
        <v>40</v>
      </c>
      <c r="GA189" s="10" t="s">
        <v>40</v>
      </c>
      <c r="GC189" s="10" t="s">
        <v>40</v>
      </c>
      <c r="GE189" s="10" t="s">
        <v>40</v>
      </c>
      <c r="GG189" s="10" t="s">
        <v>40</v>
      </c>
      <c r="GI189" s="10" t="s">
        <v>40</v>
      </c>
      <c r="GK189" s="10" t="s">
        <v>40</v>
      </c>
      <c r="GM189" s="10" t="s">
        <v>40</v>
      </c>
      <c r="GO189" s="10" t="s">
        <v>40</v>
      </c>
      <c r="GQ189" s="10" t="s">
        <v>40</v>
      </c>
      <c r="GS189" s="10" t="s">
        <v>40</v>
      </c>
      <c r="GU189" s="10" t="s">
        <v>40</v>
      </c>
      <c r="GW189" s="10" t="s">
        <v>40</v>
      </c>
      <c r="GY189" s="10" t="s">
        <v>40</v>
      </c>
      <c r="HA189" s="10" t="s">
        <v>40</v>
      </c>
      <c r="HC189" s="10" t="s">
        <v>40</v>
      </c>
    </row>
    <row r="191" spans="111:211" x14ac:dyDescent="0.2">
      <c r="DQ191" s="26" t="s">
        <v>40</v>
      </c>
      <c r="DS191" s="26" t="s">
        <v>40</v>
      </c>
      <c r="DU191" s="26" t="s">
        <v>40</v>
      </c>
      <c r="DW191" s="26" t="s">
        <v>40</v>
      </c>
      <c r="DY191" s="26" t="s">
        <v>40</v>
      </c>
      <c r="EA191" s="26" t="s">
        <v>40</v>
      </c>
      <c r="EC191" s="26" t="s">
        <v>40</v>
      </c>
      <c r="EE191" s="26" t="s">
        <v>40</v>
      </c>
      <c r="EG191" s="26" t="s">
        <v>40</v>
      </c>
      <c r="EI191" s="26" t="s">
        <v>40</v>
      </c>
      <c r="EK191" s="26" t="s">
        <v>40</v>
      </c>
      <c r="EM191" s="26" t="s">
        <v>40</v>
      </c>
      <c r="EO191" s="26" t="s">
        <v>40</v>
      </c>
      <c r="EQ191" s="26" t="s">
        <v>40</v>
      </c>
      <c r="ES191" s="26" t="s">
        <v>40</v>
      </c>
      <c r="EU191" s="26" t="s">
        <v>40</v>
      </c>
      <c r="EW191" s="26" t="s">
        <v>40</v>
      </c>
      <c r="EY191" s="26" t="s">
        <v>40</v>
      </c>
      <c r="FA191" s="26" t="s">
        <v>40</v>
      </c>
      <c r="FC191" s="26" t="s">
        <v>40</v>
      </c>
      <c r="FE191" s="26" t="s">
        <v>40</v>
      </c>
      <c r="FG191" s="26" t="s">
        <v>40</v>
      </c>
      <c r="FI191" s="26" t="s">
        <v>40</v>
      </c>
      <c r="FK191" s="26" t="s">
        <v>40</v>
      </c>
      <c r="FM191" s="26" t="s">
        <v>40</v>
      </c>
      <c r="FO191" s="26" t="s">
        <v>40</v>
      </c>
      <c r="FQ191" s="26" t="s">
        <v>40</v>
      </c>
      <c r="FS191" s="26" t="s">
        <v>40</v>
      </c>
      <c r="FU191" s="26" t="s">
        <v>40</v>
      </c>
      <c r="FW191" s="26" t="s">
        <v>40</v>
      </c>
      <c r="FY191" s="26" t="s">
        <v>40</v>
      </c>
      <c r="GA191" s="26" t="s">
        <v>40</v>
      </c>
      <c r="GC191" s="26" t="s">
        <v>40</v>
      </c>
      <c r="GE191" s="26" t="s">
        <v>40</v>
      </c>
      <c r="GG191" s="26" t="s">
        <v>40</v>
      </c>
      <c r="GI191" s="26" t="s">
        <v>40</v>
      </c>
      <c r="GK191" s="26" t="s">
        <v>40</v>
      </c>
      <c r="GM191" s="26" t="s">
        <v>40</v>
      </c>
      <c r="GO191" s="26" t="s">
        <v>40</v>
      </c>
      <c r="GQ191" s="26" t="s">
        <v>40</v>
      </c>
      <c r="GS191" s="26" t="s">
        <v>40</v>
      </c>
      <c r="GU191" s="26" t="s">
        <v>40</v>
      </c>
      <c r="GW191" s="26" t="s">
        <v>40</v>
      </c>
      <c r="GY191" s="26" t="s">
        <v>40</v>
      </c>
      <c r="HA191" s="26" t="s">
        <v>40</v>
      </c>
      <c r="HC191" s="26" t="s">
        <v>40</v>
      </c>
    </row>
    <row r="192" spans="111:211" x14ac:dyDescent="0.2">
      <c r="DQ192" s="10" t="s">
        <v>40</v>
      </c>
      <c r="DS192" s="10" t="s">
        <v>40</v>
      </c>
      <c r="DU192" s="10" t="s">
        <v>40</v>
      </c>
      <c r="DW192" s="10" t="s">
        <v>40</v>
      </c>
      <c r="DY192" s="10" t="s">
        <v>40</v>
      </c>
      <c r="EA192" s="10" t="s">
        <v>40</v>
      </c>
      <c r="EC192" s="10" t="s">
        <v>40</v>
      </c>
      <c r="EE192" s="10" t="s">
        <v>40</v>
      </c>
      <c r="EG192" s="10" t="s">
        <v>40</v>
      </c>
      <c r="EI192" s="10" t="s">
        <v>40</v>
      </c>
      <c r="EK192" s="10" t="s">
        <v>40</v>
      </c>
      <c r="EM192" s="10" t="s">
        <v>40</v>
      </c>
      <c r="EO192" s="10" t="s">
        <v>40</v>
      </c>
      <c r="EQ192" s="10" t="s">
        <v>40</v>
      </c>
      <c r="ES192" s="10" t="s">
        <v>40</v>
      </c>
      <c r="EU192" s="10" t="s">
        <v>40</v>
      </c>
      <c r="EW192" s="10" t="s">
        <v>40</v>
      </c>
      <c r="EY192" s="10" t="s">
        <v>40</v>
      </c>
      <c r="FA192" s="10" t="s">
        <v>40</v>
      </c>
      <c r="FC192" s="10" t="s">
        <v>40</v>
      </c>
      <c r="FE192" s="10" t="s">
        <v>40</v>
      </c>
      <c r="FG192" s="10" t="s">
        <v>40</v>
      </c>
      <c r="FI192" s="10" t="s">
        <v>40</v>
      </c>
      <c r="FK192" s="10" t="s">
        <v>40</v>
      </c>
      <c r="FM192" s="10" t="s">
        <v>40</v>
      </c>
      <c r="FO192" s="10" t="s">
        <v>40</v>
      </c>
      <c r="FQ192" s="10" t="s">
        <v>40</v>
      </c>
      <c r="FS192" s="10" t="s">
        <v>40</v>
      </c>
      <c r="FU192" s="10" t="s">
        <v>40</v>
      </c>
      <c r="FW192" s="10" t="s">
        <v>40</v>
      </c>
      <c r="FY192" s="10" t="s">
        <v>40</v>
      </c>
      <c r="GA192" s="10" t="s">
        <v>40</v>
      </c>
      <c r="GC192" s="10" t="s">
        <v>40</v>
      </c>
      <c r="GE192" s="10" t="s">
        <v>40</v>
      </c>
      <c r="GG192" s="10" t="s">
        <v>40</v>
      </c>
      <c r="GI192" s="10" t="s">
        <v>40</v>
      </c>
      <c r="GK192" s="10" t="s">
        <v>40</v>
      </c>
      <c r="GM192" s="10" t="s">
        <v>40</v>
      </c>
      <c r="GO192" s="10" t="s">
        <v>40</v>
      </c>
      <c r="GQ192" s="10" t="s">
        <v>40</v>
      </c>
      <c r="GS192" s="10" t="s">
        <v>40</v>
      </c>
      <c r="GU192" s="10" t="s">
        <v>40</v>
      </c>
      <c r="GW192" s="10" t="s">
        <v>40</v>
      </c>
      <c r="GY192" s="10" t="s">
        <v>40</v>
      </c>
      <c r="HA192" s="10" t="s">
        <v>40</v>
      </c>
      <c r="HC192" s="10" t="s">
        <v>40</v>
      </c>
    </row>
    <row r="194" spans="123:211" x14ac:dyDescent="0.2">
      <c r="DS194" s="26" t="s">
        <v>40</v>
      </c>
      <c r="DU194" s="26" t="s">
        <v>40</v>
      </c>
      <c r="DW194" s="26" t="s">
        <v>40</v>
      </c>
      <c r="DY194" s="26" t="s">
        <v>40</v>
      </c>
      <c r="EA194" s="26" t="s">
        <v>40</v>
      </c>
      <c r="EC194" s="26" t="s">
        <v>40</v>
      </c>
      <c r="EE194" s="26" t="s">
        <v>40</v>
      </c>
      <c r="EG194" s="26" t="s">
        <v>40</v>
      </c>
      <c r="EI194" s="26" t="s">
        <v>40</v>
      </c>
      <c r="EK194" s="26" t="s">
        <v>40</v>
      </c>
      <c r="EM194" s="26" t="s">
        <v>40</v>
      </c>
      <c r="EO194" s="26" t="s">
        <v>40</v>
      </c>
      <c r="EQ194" s="26" t="s">
        <v>40</v>
      </c>
      <c r="ES194" s="26" t="s">
        <v>40</v>
      </c>
      <c r="EU194" s="26" t="s">
        <v>40</v>
      </c>
      <c r="EW194" s="26" t="s">
        <v>40</v>
      </c>
      <c r="EY194" s="26" t="s">
        <v>40</v>
      </c>
      <c r="FA194" s="26" t="s">
        <v>40</v>
      </c>
      <c r="FC194" s="26" t="s">
        <v>40</v>
      </c>
      <c r="FE194" s="26" t="s">
        <v>40</v>
      </c>
      <c r="FG194" s="26" t="s">
        <v>40</v>
      </c>
      <c r="FI194" s="26" t="s">
        <v>40</v>
      </c>
      <c r="FK194" s="26" t="s">
        <v>40</v>
      </c>
      <c r="FM194" s="26" t="s">
        <v>40</v>
      </c>
      <c r="FO194" s="26" t="s">
        <v>40</v>
      </c>
      <c r="FQ194" s="26" t="s">
        <v>40</v>
      </c>
      <c r="FS194" s="26" t="s">
        <v>40</v>
      </c>
      <c r="FU194" s="26" t="s">
        <v>40</v>
      </c>
      <c r="FW194" s="26" t="s">
        <v>40</v>
      </c>
      <c r="FY194" s="26" t="s">
        <v>40</v>
      </c>
      <c r="GA194" s="26" t="s">
        <v>40</v>
      </c>
      <c r="GC194" s="26" t="s">
        <v>40</v>
      </c>
      <c r="GE194" s="26" t="s">
        <v>40</v>
      </c>
      <c r="GG194" s="26" t="s">
        <v>40</v>
      </c>
      <c r="GI194" s="26" t="s">
        <v>40</v>
      </c>
      <c r="GK194" s="26" t="s">
        <v>40</v>
      </c>
      <c r="GM194" s="26" t="s">
        <v>40</v>
      </c>
      <c r="GO194" s="26" t="s">
        <v>40</v>
      </c>
      <c r="GQ194" s="26" t="s">
        <v>40</v>
      </c>
      <c r="GS194" s="26" t="s">
        <v>40</v>
      </c>
      <c r="GU194" s="26" t="s">
        <v>40</v>
      </c>
      <c r="GW194" s="26" t="s">
        <v>40</v>
      </c>
      <c r="GY194" s="26" t="s">
        <v>40</v>
      </c>
      <c r="HA194" s="26" t="s">
        <v>40</v>
      </c>
      <c r="HC194" s="26" t="s">
        <v>40</v>
      </c>
    </row>
    <row r="195" spans="123:211" x14ac:dyDescent="0.2">
      <c r="DS195" s="10" t="s">
        <v>40</v>
      </c>
      <c r="DU195" s="10" t="s">
        <v>40</v>
      </c>
      <c r="DW195" s="10" t="s">
        <v>40</v>
      </c>
      <c r="DY195" s="10" t="s">
        <v>40</v>
      </c>
      <c r="EA195" s="10" t="s">
        <v>40</v>
      </c>
      <c r="EC195" s="10" t="s">
        <v>40</v>
      </c>
      <c r="EE195" s="10" t="s">
        <v>40</v>
      </c>
      <c r="EG195" s="10" t="s">
        <v>40</v>
      </c>
      <c r="EI195" s="10" t="s">
        <v>40</v>
      </c>
      <c r="EK195" s="10" t="s">
        <v>40</v>
      </c>
      <c r="EM195" s="10" t="s">
        <v>40</v>
      </c>
      <c r="EO195" s="10" t="s">
        <v>40</v>
      </c>
      <c r="EQ195" s="10" t="s">
        <v>40</v>
      </c>
      <c r="ES195" s="10" t="s">
        <v>40</v>
      </c>
      <c r="EU195" s="10" t="s">
        <v>40</v>
      </c>
      <c r="EW195" s="10" t="s">
        <v>40</v>
      </c>
      <c r="EY195" s="10" t="s">
        <v>40</v>
      </c>
      <c r="FA195" s="10" t="s">
        <v>40</v>
      </c>
      <c r="FC195" s="10" t="s">
        <v>40</v>
      </c>
      <c r="FE195" s="10" t="s">
        <v>40</v>
      </c>
      <c r="FG195" s="10" t="s">
        <v>40</v>
      </c>
      <c r="FI195" s="10" t="s">
        <v>40</v>
      </c>
      <c r="FK195" s="10" t="s">
        <v>40</v>
      </c>
      <c r="FM195" s="10" t="s">
        <v>40</v>
      </c>
      <c r="FO195" s="10" t="s">
        <v>40</v>
      </c>
      <c r="FQ195" s="10" t="s">
        <v>40</v>
      </c>
      <c r="FS195" s="10" t="s">
        <v>40</v>
      </c>
      <c r="FU195" s="10" t="s">
        <v>40</v>
      </c>
      <c r="FW195" s="10" t="s">
        <v>40</v>
      </c>
      <c r="FY195" s="10" t="s">
        <v>40</v>
      </c>
      <c r="GA195" s="10" t="s">
        <v>40</v>
      </c>
      <c r="GC195" s="10" t="s">
        <v>40</v>
      </c>
      <c r="GE195" s="10" t="s">
        <v>40</v>
      </c>
      <c r="GG195" s="10" t="s">
        <v>40</v>
      </c>
      <c r="GI195" s="10" t="s">
        <v>40</v>
      </c>
      <c r="GK195" s="10" t="s">
        <v>40</v>
      </c>
      <c r="GM195" s="10" t="s">
        <v>40</v>
      </c>
      <c r="GO195" s="10" t="s">
        <v>40</v>
      </c>
      <c r="GQ195" s="10" t="s">
        <v>40</v>
      </c>
      <c r="GS195" s="10" t="s">
        <v>40</v>
      </c>
      <c r="GU195" s="10" t="s">
        <v>40</v>
      </c>
      <c r="GW195" s="10" t="s">
        <v>40</v>
      </c>
      <c r="GY195" s="10" t="s">
        <v>40</v>
      </c>
      <c r="HA195" s="10" t="s">
        <v>40</v>
      </c>
      <c r="HC195" s="10" t="s">
        <v>40</v>
      </c>
    </row>
    <row r="197" spans="123:211" x14ac:dyDescent="0.2">
      <c r="DU197" s="26" t="s">
        <v>40</v>
      </c>
      <c r="DW197" s="26" t="s">
        <v>40</v>
      </c>
      <c r="DY197" s="26" t="s">
        <v>40</v>
      </c>
      <c r="EA197" s="26" t="s">
        <v>40</v>
      </c>
      <c r="EC197" s="26" t="s">
        <v>40</v>
      </c>
      <c r="EE197" s="26" t="s">
        <v>40</v>
      </c>
      <c r="EG197" s="26" t="s">
        <v>40</v>
      </c>
      <c r="EI197" s="26" t="s">
        <v>40</v>
      </c>
      <c r="EK197" s="26" t="s">
        <v>40</v>
      </c>
      <c r="EM197" s="26" t="s">
        <v>40</v>
      </c>
      <c r="EO197" s="26" t="s">
        <v>40</v>
      </c>
      <c r="EQ197" s="26" t="s">
        <v>40</v>
      </c>
      <c r="ES197" s="26" t="s">
        <v>40</v>
      </c>
      <c r="EU197" s="26" t="s">
        <v>40</v>
      </c>
      <c r="EW197" s="26" t="s">
        <v>40</v>
      </c>
      <c r="EY197" s="26" t="s">
        <v>40</v>
      </c>
      <c r="FA197" s="26" t="s">
        <v>40</v>
      </c>
      <c r="FC197" s="26" t="s">
        <v>40</v>
      </c>
      <c r="FE197" s="26" t="s">
        <v>40</v>
      </c>
      <c r="FG197" s="26" t="s">
        <v>40</v>
      </c>
      <c r="FI197" s="26" t="s">
        <v>40</v>
      </c>
      <c r="FK197" s="26" t="s">
        <v>40</v>
      </c>
      <c r="FM197" s="26" t="s">
        <v>40</v>
      </c>
      <c r="FO197" s="26" t="s">
        <v>40</v>
      </c>
      <c r="FQ197" s="26" t="s">
        <v>40</v>
      </c>
      <c r="FS197" s="26" t="s">
        <v>40</v>
      </c>
      <c r="FU197" s="26" t="s">
        <v>40</v>
      </c>
      <c r="FW197" s="26" t="s">
        <v>40</v>
      </c>
      <c r="FY197" s="26" t="s">
        <v>40</v>
      </c>
      <c r="GA197" s="26" t="s">
        <v>40</v>
      </c>
      <c r="GC197" s="26" t="s">
        <v>40</v>
      </c>
      <c r="GE197" s="26" t="s">
        <v>40</v>
      </c>
      <c r="GG197" s="26" t="s">
        <v>40</v>
      </c>
      <c r="GI197" s="26" t="s">
        <v>40</v>
      </c>
      <c r="GK197" s="26" t="s">
        <v>40</v>
      </c>
      <c r="GM197" s="26" t="s">
        <v>40</v>
      </c>
      <c r="GO197" s="26" t="s">
        <v>40</v>
      </c>
      <c r="GQ197" s="26" t="s">
        <v>40</v>
      </c>
      <c r="GS197" s="26" t="s">
        <v>40</v>
      </c>
      <c r="GU197" s="26" t="s">
        <v>40</v>
      </c>
      <c r="GW197" s="26" t="s">
        <v>40</v>
      </c>
      <c r="GY197" s="26" t="s">
        <v>40</v>
      </c>
      <c r="HA197" s="26" t="s">
        <v>40</v>
      </c>
      <c r="HC197" s="26" t="s">
        <v>40</v>
      </c>
    </row>
    <row r="198" spans="123:211" x14ac:dyDescent="0.2">
      <c r="DU198" s="10" t="s">
        <v>40</v>
      </c>
      <c r="DW198" s="10" t="s">
        <v>40</v>
      </c>
      <c r="DY198" s="10" t="s">
        <v>40</v>
      </c>
      <c r="EA198" s="10" t="s">
        <v>40</v>
      </c>
      <c r="EC198" s="10" t="s">
        <v>40</v>
      </c>
      <c r="EE198" s="10" t="s">
        <v>40</v>
      </c>
      <c r="EG198" s="10" t="s">
        <v>40</v>
      </c>
      <c r="EI198" s="10" t="s">
        <v>40</v>
      </c>
      <c r="EK198" s="10" t="s">
        <v>40</v>
      </c>
      <c r="EM198" s="10" t="s">
        <v>40</v>
      </c>
      <c r="EO198" s="10" t="s">
        <v>40</v>
      </c>
      <c r="EQ198" s="10" t="s">
        <v>40</v>
      </c>
      <c r="ES198" s="10" t="s">
        <v>40</v>
      </c>
      <c r="EU198" s="10" t="s">
        <v>40</v>
      </c>
      <c r="EW198" s="10" t="s">
        <v>40</v>
      </c>
      <c r="EY198" s="10" t="s">
        <v>40</v>
      </c>
      <c r="FA198" s="10" t="s">
        <v>40</v>
      </c>
      <c r="FC198" s="10" t="s">
        <v>40</v>
      </c>
      <c r="FE198" s="10" t="s">
        <v>40</v>
      </c>
      <c r="FG198" s="10" t="s">
        <v>40</v>
      </c>
      <c r="FI198" s="10" t="s">
        <v>40</v>
      </c>
      <c r="FK198" s="10" t="s">
        <v>40</v>
      </c>
      <c r="FM198" s="10" t="s">
        <v>40</v>
      </c>
      <c r="FO198" s="10" t="s">
        <v>40</v>
      </c>
      <c r="FQ198" s="10" t="s">
        <v>40</v>
      </c>
      <c r="FS198" s="10" t="s">
        <v>40</v>
      </c>
      <c r="FU198" s="10" t="s">
        <v>40</v>
      </c>
      <c r="FW198" s="10" t="s">
        <v>40</v>
      </c>
      <c r="FY198" s="10" t="s">
        <v>40</v>
      </c>
      <c r="GA198" s="10" t="s">
        <v>40</v>
      </c>
      <c r="GC198" s="10" t="s">
        <v>40</v>
      </c>
      <c r="GE198" s="10" t="s">
        <v>40</v>
      </c>
      <c r="GG198" s="10" t="s">
        <v>40</v>
      </c>
      <c r="GI198" s="10" t="s">
        <v>40</v>
      </c>
      <c r="GK198" s="10" t="s">
        <v>40</v>
      </c>
      <c r="GM198" s="10" t="s">
        <v>40</v>
      </c>
      <c r="GO198" s="10" t="s">
        <v>40</v>
      </c>
      <c r="GQ198" s="10" t="s">
        <v>40</v>
      </c>
      <c r="GS198" s="10" t="s">
        <v>40</v>
      </c>
      <c r="GU198" s="10" t="s">
        <v>40</v>
      </c>
      <c r="GW198" s="10" t="s">
        <v>40</v>
      </c>
      <c r="GY198" s="10" t="s">
        <v>40</v>
      </c>
      <c r="HA198" s="10" t="s">
        <v>40</v>
      </c>
      <c r="HC198" s="10" t="s">
        <v>40</v>
      </c>
    </row>
    <row r="200" spans="123:211" x14ac:dyDescent="0.2">
      <c r="DW200" s="26" t="s">
        <v>40</v>
      </c>
      <c r="DY200" s="26" t="s">
        <v>40</v>
      </c>
      <c r="EA200" s="26" t="s">
        <v>40</v>
      </c>
      <c r="EC200" s="26" t="s">
        <v>40</v>
      </c>
      <c r="EE200" s="26" t="s">
        <v>40</v>
      </c>
      <c r="EG200" s="26" t="s">
        <v>40</v>
      </c>
      <c r="EI200" s="26" t="s">
        <v>40</v>
      </c>
      <c r="EK200" s="26" t="s">
        <v>40</v>
      </c>
      <c r="EM200" s="26" t="s">
        <v>40</v>
      </c>
      <c r="EO200" s="26" t="s">
        <v>40</v>
      </c>
      <c r="EQ200" s="26" t="s">
        <v>40</v>
      </c>
      <c r="ES200" s="26" t="s">
        <v>40</v>
      </c>
      <c r="EU200" s="26" t="s">
        <v>40</v>
      </c>
      <c r="EW200" s="26" t="s">
        <v>40</v>
      </c>
      <c r="EY200" s="26" t="s">
        <v>40</v>
      </c>
      <c r="FA200" s="26" t="s">
        <v>40</v>
      </c>
      <c r="FC200" s="26" t="s">
        <v>40</v>
      </c>
      <c r="FE200" s="26" t="s">
        <v>40</v>
      </c>
      <c r="FG200" s="26" t="s">
        <v>40</v>
      </c>
      <c r="FI200" s="26" t="s">
        <v>40</v>
      </c>
      <c r="FK200" s="26" t="s">
        <v>40</v>
      </c>
      <c r="FM200" s="26" t="s">
        <v>40</v>
      </c>
      <c r="FO200" s="26" t="s">
        <v>40</v>
      </c>
      <c r="FQ200" s="26" t="s">
        <v>40</v>
      </c>
      <c r="FS200" s="26" t="s">
        <v>40</v>
      </c>
      <c r="FU200" s="26" t="s">
        <v>40</v>
      </c>
      <c r="FW200" s="26" t="s">
        <v>40</v>
      </c>
      <c r="FY200" s="26" t="s">
        <v>40</v>
      </c>
      <c r="GA200" s="26" t="s">
        <v>40</v>
      </c>
      <c r="GC200" s="26" t="s">
        <v>40</v>
      </c>
      <c r="GE200" s="26" t="s">
        <v>40</v>
      </c>
      <c r="GG200" s="26" t="s">
        <v>40</v>
      </c>
      <c r="GI200" s="26" t="s">
        <v>40</v>
      </c>
      <c r="GK200" s="26" t="s">
        <v>40</v>
      </c>
      <c r="GM200" s="26" t="s">
        <v>40</v>
      </c>
      <c r="GO200" s="26" t="s">
        <v>40</v>
      </c>
      <c r="GQ200" s="26" t="s">
        <v>40</v>
      </c>
      <c r="GS200" s="26" t="s">
        <v>40</v>
      </c>
      <c r="GU200" s="26" t="s">
        <v>40</v>
      </c>
      <c r="GW200" s="26" t="s">
        <v>40</v>
      </c>
      <c r="GY200" s="26" t="s">
        <v>40</v>
      </c>
      <c r="HA200" s="26" t="s">
        <v>40</v>
      </c>
      <c r="HC200" s="26" t="s">
        <v>40</v>
      </c>
    </row>
    <row r="201" spans="123:211" x14ac:dyDescent="0.2">
      <c r="DW201" s="10" t="s">
        <v>40</v>
      </c>
      <c r="DY201" s="10" t="s">
        <v>40</v>
      </c>
      <c r="EA201" s="10" t="s">
        <v>40</v>
      </c>
      <c r="EC201" s="10" t="s">
        <v>40</v>
      </c>
      <c r="EE201" s="10" t="s">
        <v>40</v>
      </c>
      <c r="EG201" s="10" t="s">
        <v>40</v>
      </c>
      <c r="EI201" s="10" t="s">
        <v>40</v>
      </c>
      <c r="EK201" s="10" t="s">
        <v>40</v>
      </c>
      <c r="EM201" s="10" t="s">
        <v>40</v>
      </c>
      <c r="EO201" s="10" t="s">
        <v>40</v>
      </c>
      <c r="EQ201" s="10" t="s">
        <v>40</v>
      </c>
      <c r="ES201" s="10" t="s">
        <v>40</v>
      </c>
      <c r="EU201" s="10" t="s">
        <v>40</v>
      </c>
      <c r="EW201" s="10" t="s">
        <v>40</v>
      </c>
      <c r="EY201" s="10" t="s">
        <v>40</v>
      </c>
      <c r="FA201" s="10" t="s">
        <v>40</v>
      </c>
      <c r="FC201" s="10" t="s">
        <v>40</v>
      </c>
      <c r="FE201" s="10" t="s">
        <v>40</v>
      </c>
      <c r="FG201" s="10" t="s">
        <v>40</v>
      </c>
      <c r="FI201" s="10" t="s">
        <v>40</v>
      </c>
      <c r="FK201" s="10" t="s">
        <v>40</v>
      </c>
      <c r="FM201" s="10" t="s">
        <v>40</v>
      </c>
      <c r="FO201" s="10" t="s">
        <v>40</v>
      </c>
      <c r="FQ201" s="10" t="s">
        <v>40</v>
      </c>
      <c r="FS201" s="10" t="s">
        <v>40</v>
      </c>
      <c r="FU201" s="10" t="s">
        <v>40</v>
      </c>
      <c r="FW201" s="10" t="s">
        <v>40</v>
      </c>
      <c r="FY201" s="10" t="s">
        <v>40</v>
      </c>
      <c r="GA201" s="10" t="s">
        <v>40</v>
      </c>
      <c r="GC201" s="10" t="s">
        <v>40</v>
      </c>
      <c r="GE201" s="10" t="s">
        <v>40</v>
      </c>
      <c r="GG201" s="10" t="s">
        <v>40</v>
      </c>
      <c r="GI201" s="10" t="s">
        <v>40</v>
      </c>
      <c r="GK201" s="10" t="s">
        <v>40</v>
      </c>
      <c r="GM201" s="10" t="s">
        <v>40</v>
      </c>
      <c r="GO201" s="10" t="s">
        <v>40</v>
      </c>
      <c r="GQ201" s="10" t="s">
        <v>40</v>
      </c>
      <c r="GS201" s="10" t="s">
        <v>40</v>
      </c>
      <c r="GU201" s="10" t="s">
        <v>40</v>
      </c>
      <c r="GW201" s="10" t="s">
        <v>40</v>
      </c>
      <c r="GY201" s="10" t="s">
        <v>40</v>
      </c>
      <c r="HA201" s="10" t="s">
        <v>40</v>
      </c>
      <c r="HC201" s="10" t="s">
        <v>40</v>
      </c>
    </row>
    <row r="203" spans="123:211" x14ac:dyDescent="0.2">
      <c r="DY203" s="26" t="s">
        <v>40</v>
      </c>
      <c r="EA203" s="26" t="s">
        <v>40</v>
      </c>
      <c r="EC203" s="26" t="s">
        <v>40</v>
      </c>
      <c r="EE203" s="26" t="s">
        <v>40</v>
      </c>
      <c r="EG203" s="26" t="s">
        <v>40</v>
      </c>
      <c r="EI203" s="26" t="s">
        <v>40</v>
      </c>
      <c r="EK203" s="26" t="s">
        <v>40</v>
      </c>
      <c r="EM203" s="26" t="s">
        <v>40</v>
      </c>
      <c r="EO203" s="26" t="s">
        <v>40</v>
      </c>
      <c r="EQ203" s="26" t="s">
        <v>40</v>
      </c>
      <c r="ES203" s="26" t="s">
        <v>40</v>
      </c>
      <c r="EU203" s="26" t="s">
        <v>40</v>
      </c>
      <c r="EW203" s="26" t="s">
        <v>40</v>
      </c>
      <c r="EY203" s="26" t="s">
        <v>40</v>
      </c>
      <c r="FA203" s="26" t="s">
        <v>40</v>
      </c>
      <c r="FC203" s="26" t="s">
        <v>40</v>
      </c>
      <c r="FE203" s="26" t="s">
        <v>40</v>
      </c>
      <c r="FG203" s="26" t="s">
        <v>40</v>
      </c>
      <c r="FI203" s="26" t="s">
        <v>40</v>
      </c>
      <c r="FK203" s="26" t="s">
        <v>40</v>
      </c>
      <c r="FM203" s="26" t="s">
        <v>40</v>
      </c>
      <c r="FO203" s="26" t="s">
        <v>40</v>
      </c>
      <c r="FQ203" s="26" t="s">
        <v>40</v>
      </c>
      <c r="FS203" s="26" t="s">
        <v>40</v>
      </c>
      <c r="FU203" s="26" t="s">
        <v>40</v>
      </c>
      <c r="FW203" s="26" t="s">
        <v>40</v>
      </c>
      <c r="FY203" s="26" t="s">
        <v>40</v>
      </c>
      <c r="GA203" s="26" t="s">
        <v>40</v>
      </c>
      <c r="GC203" s="26" t="s">
        <v>40</v>
      </c>
      <c r="GE203" s="26" t="s">
        <v>40</v>
      </c>
      <c r="GG203" s="26" t="s">
        <v>40</v>
      </c>
      <c r="GI203" s="26" t="s">
        <v>40</v>
      </c>
      <c r="GK203" s="26" t="s">
        <v>40</v>
      </c>
      <c r="GM203" s="26" t="s">
        <v>40</v>
      </c>
      <c r="GO203" s="26" t="s">
        <v>40</v>
      </c>
      <c r="GQ203" s="26" t="s">
        <v>40</v>
      </c>
      <c r="GS203" s="26" t="s">
        <v>40</v>
      </c>
      <c r="GU203" s="26" t="s">
        <v>40</v>
      </c>
      <c r="GW203" s="26" t="s">
        <v>40</v>
      </c>
      <c r="GY203" s="26" t="s">
        <v>40</v>
      </c>
      <c r="HA203" s="26" t="s">
        <v>40</v>
      </c>
      <c r="HC203" s="26" t="s">
        <v>40</v>
      </c>
    </row>
    <row r="204" spans="123:211" x14ac:dyDescent="0.2">
      <c r="DY204" s="10" t="s">
        <v>40</v>
      </c>
      <c r="EA204" s="10" t="s">
        <v>40</v>
      </c>
      <c r="EC204" s="10" t="s">
        <v>40</v>
      </c>
      <c r="EE204" s="10" t="s">
        <v>40</v>
      </c>
      <c r="EG204" s="10" t="s">
        <v>40</v>
      </c>
      <c r="EI204" s="10" t="s">
        <v>40</v>
      </c>
      <c r="EK204" s="10" t="s">
        <v>40</v>
      </c>
      <c r="EM204" s="10" t="s">
        <v>40</v>
      </c>
      <c r="EO204" s="10" t="s">
        <v>40</v>
      </c>
      <c r="EQ204" s="10" t="s">
        <v>40</v>
      </c>
      <c r="ES204" s="10" t="s">
        <v>40</v>
      </c>
      <c r="EU204" s="10" t="s">
        <v>40</v>
      </c>
      <c r="EW204" s="10" t="s">
        <v>40</v>
      </c>
      <c r="EY204" s="10" t="s">
        <v>40</v>
      </c>
      <c r="FA204" s="10" t="s">
        <v>40</v>
      </c>
      <c r="FC204" s="10" t="s">
        <v>40</v>
      </c>
      <c r="FE204" s="10" t="s">
        <v>40</v>
      </c>
      <c r="FG204" s="10" t="s">
        <v>40</v>
      </c>
      <c r="FI204" s="10" t="s">
        <v>40</v>
      </c>
      <c r="FK204" s="10" t="s">
        <v>40</v>
      </c>
      <c r="FM204" s="10" t="s">
        <v>40</v>
      </c>
      <c r="FO204" s="10" t="s">
        <v>40</v>
      </c>
      <c r="FQ204" s="10" t="s">
        <v>40</v>
      </c>
      <c r="FS204" s="10" t="s">
        <v>40</v>
      </c>
      <c r="FU204" s="10" t="s">
        <v>40</v>
      </c>
      <c r="FW204" s="10" t="s">
        <v>40</v>
      </c>
      <c r="FY204" s="10" t="s">
        <v>40</v>
      </c>
      <c r="GA204" s="10" t="s">
        <v>40</v>
      </c>
      <c r="GC204" s="10" t="s">
        <v>40</v>
      </c>
      <c r="GE204" s="10" t="s">
        <v>40</v>
      </c>
      <c r="GG204" s="10" t="s">
        <v>40</v>
      </c>
      <c r="GI204" s="10" t="s">
        <v>40</v>
      </c>
      <c r="GK204" s="10" t="s">
        <v>40</v>
      </c>
      <c r="GM204" s="10" t="s">
        <v>40</v>
      </c>
      <c r="GO204" s="10" t="s">
        <v>40</v>
      </c>
      <c r="GQ204" s="10" t="s">
        <v>40</v>
      </c>
      <c r="GS204" s="10" t="s">
        <v>40</v>
      </c>
      <c r="GU204" s="10" t="s">
        <v>40</v>
      </c>
      <c r="GW204" s="10" t="s">
        <v>40</v>
      </c>
      <c r="GY204" s="10" t="s">
        <v>40</v>
      </c>
      <c r="HA204" s="10" t="s">
        <v>40</v>
      </c>
      <c r="HC204" s="10" t="s">
        <v>40</v>
      </c>
    </row>
    <row r="206" spans="123:211" x14ac:dyDescent="0.2">
      <c r="EA206" s="26" t="s">
        <v>40</v>
      </c>
      <c r="EC206" s="26" t="s">
        <v>40</v>
      </c>
      <c r="EE206" s="26" t="s">
        <v>40</v>
      </c>
      <c r="EG206" s="26" t="s">
        <v>40</v>
      </c>
      <c r="EI206" s="26" t="s">
        <v>40</v>
      </c>
      <c r="EK206" s="26" t="s">
        <v>40</v>
      </c>
      <c r="EM206" s="26" t="s">
        <v>40</v>
      </c>
      <c r="EO206" s="26" t="s">
        <v>40</v>
      </c>
      <c r="EQ206" s="26" t="s">
        <v>40</v>
      </c>
      <c r="ES206" s="26" t="s">
        <v>40</v>
      </c>
      <c r="EU206" s="26" t="s">
        <v>40</v>
      </c>
      <c r="EW206" s="26" t="s">
        <v>40</v>
      </c>
      <c r="EY206" s="26" t="s">
        <v>40</v>
      </c>
      <c r="FA206" s="26" t="s">
        <v>40</v>
      </c>
      <c r="FC206" s="26" t="s">
        <v>40</v>
      </c>
      <c r="FE206" s="26" t="s">
        <v>40</v>
      </c>
      <c r="FG206" s="26" t="s">
        <v>40</v>
      </c>
      <c r="FI206" s="26" t="s">
        <v>40</v>
      </c>
      <c r="FK206" s="26" t="s">
        <v>40</v>
      </c>
      <c r="FM206" s="26" t="s">
        <v>40</v>
      </c>
      <c r="FO206" s="26" t="s">
        <v>40</v>
      </c>
      <c r="FQ206" s="26" t="s">
        <v>40</v>
      </c>
      <c r="FS206" s="26" t="s">
        <v>40</v>
      </c>
      <c r="FU206" s="26" t="s">
        <v>40</v>
      </c>
      <c r="FW206" s="26" t="s">
        <v>40</v>
      </c>
      <c r="FY206" s="26" t="s">
        <v>40</v>
      </c>
      <c r="GA206" s="26" t="s">
        <v>40</v>
      </c>
      <c r="GC206" s="26" t="s">
        <v>40</v>
      </c>
      <c r="GE206" s="26" t="s">
        <v>40</v>
      </c>
      <c r="GG206" s="26" t="s">
        <v>40</v>
      </c>
      <c r="GI206" s="26" t="s">
        <v>40</v>
      </c>
      <c r="GK206" s="26" t="s">
        <v>40</v>
      </c>
      <c r="GM206" s="26" t="s">
        <v>40</v>
      </c>
      <c r="GO206" s="26" t="s">
        <v>40</v>
      </c>
      <c r="GQ206" s="26" t="s">
        <v>40</v>
      </c>
      <c r="GS206" s="26" t="s">
        <v>40</v>
      </c>
      <c r="GU206" s="26" t="s">
        <v>40</v>
      </c>
      <c r="GW206" s="26" t="s">
        <v>40</v>
      </c>
      <c r="GY206" s="26" t="s">
        <v>40</v>
      </c>
      <c r="HA206" s="26" t="s">
        <v>40</v>
      </c>
      <c r="HC206" s="26" t="s">
        <v>40</v>
      </c>
    </row>
    <row r="207" spans="123:211" x14ac:dyDescent="0.2">
      <c r="EA207" s="10" t="s">
        <v>40</v>
      </c>
      <c r="EC207" s="10" t="s">
        <v>40</v>
      </c>
      <c r="EE207" s="10" t="s">
        <v>40</v>
      </c>
      <c r="EG207" s="10" t="s">
        <v>40</v>
      </c>
      <c r="EI207" s="10" t="s">
        <v>40</v>
      </c>
      <c r="EK207" s="10" t="s">
        <v>40</v>
      </c>
      <c r="EM207" s="10" t="s">
        <v>40</v>
      </c>
      <c r="EO207" s="10" t="s">
        <v>40</v>
      </c>
      <c r="EQ207" s="10" t="s">
        <v>40</v>
      </c>
      <c r="ES207" s="10" t="s">
        <v>40</v>
      </c>
      <c r="EU207" s="10" t="s">
        <v>40</v>
      </c>
      <c r="EW207" s="10" t="s">
        <v>40</v>
      </c>
      <c r="EY207" s="10" t="s">
        <v>40</v>
      </c>
      <c r="FA207" s="10" t="s">
        <v>40</v>
      </c>
      <c r="FC207" s="10" t="s">
        <v>40</v>
      </c>
      <c r="FE207" s="10" t="s">
        <v>40</v>
      </c>
      <c r="FG207" s="10" t="s">
        <v>40</v>
      </c>
      <c r="FI207" s="10" t="s">
        <v>40</v>
      </c>
      <c r="FK207" s="10" t="s">
        <v>40</v>
      </c>
      <c r="FM207" s="10" t="s">
        <v>40</v>
      </c>
      <c r="FO207" s="10" t="s">
        <v>40</v>
      </c>
      <c r="FQ207" s="10" t="s">
        <v>40</v>
      </c>
      <c r="FS207" s="10" t="s">
        <v>40</v>
      </c>
      <c r="FU207" s="10" t="s">
        <v>40</v>
      </c>
      <c r="FW207" s="10" t="s">
        <v>40</v>
      </c>
      <c r="FY207" s="10" t="s">
        <v>40</v>
      </c>
      <c r="GA207" s="10" t="s">
        <v>40</v>
      </c>
      <c r="GC207" s="10" t="s">
        <v>40</v>
      </c>
      <c r="GE207" s="10" t="s">
        <v>40</v>
      </c>
      <c r="GG207" s="10" t="s">
        <v>40</v>
      </c>
      <c r="GI207" s="10" t="s">
        <v>40</v>
      </c>
      <c r="GK207" s="10" t="s">
        <v>40</v>
      </c>
      <c r="GM207" s="10" t="s">
        <v>40</v>
      </c>
      <c r="GO207" s="10" t="s">
        <v>40</v>
      </c>
      <c r="GQ207" s="10" t="s">
        <v>40</v>
      </c>
      <c r="GS207" s="10" t="s">
        <v>40</v>
      </c>
      <c r="GU207" s="10" t="s">
        <v>40</v>
      </c>
      <c r="GW207" s="10" t="s">
        <v>40</v>
      </c>
      <c r="GY207" s="10" t="s">
        <v>40</v>
      </c>
      <c r="HA207" s="10" t="s">
        <v>40</v>
      </c>
      <c r="HC207" s="10" t="s">
        <v>40</v>
      </c>
    </row>
    <row r="209" spans="133:211" x14ac:dyDescent="0.2">
      <c r="EC209" s="26" t="s">
        <v>40</v>
      </c>
      <c r="EE209" s="26" t="s">
        <v>40</v>
      </c>
      <c r="EG209" s="26" t="s">
        <v>40</v>
      </c>
      <c r="EI209" s="26" t="s">
        <v>40</v>
      </c>
      <c r="EK209" s="26" t="s">
        <v>40</v>
      </c>
      <c r="EM209" s="26" t="s">
        <v>40</v>
      </c>
      <c r="EO209" s="26" t="s">
        <v>40</v>
      </c>
      <c r="EQ209" s="26" t="s">
        <v>40</v>
      </c>
      <c r="ES209" s="26" t="s">
        <v>40</v>
      </c>
      <c r="EU209" s="26" t="s">
        <v>40</v>
      </c>
      <c r="EW209" s="26" t="s">
        <v>40</v>
      </c>
      <c r="EY209" s="26" t="s">
        <v>40</v>
      </c>
      <c r="FA209" s="26" t="s">
        <v>40</v>
      </c>
      <c r="FC209" s="26" t="s">
        <v>40</v>
      </c>
      <c r="FE209" s="26" t="s">
        <v>40</v>
      </c>
      <c r="FG209" s="26" t="s">
        <v>40</v>
      </c>
      <c r="FI209" s="26" t="s">
        <v>40</v>
      </c>
      <c r="FK209" s="26" t="s">
        <v>40</v>
      </c>
      <c r="FM209" s="26" t="s">
        <v>40</v>
      </c>
      <c r="FO209" s="26" t="s">
        <v>40</v>
      </c>
      <c r="FQ209" s="26" t="s">
        <v>40</v>
      </c>
      <c r="FS209" s="26" t="s">
        <v>40</v>
      </c>
      <c r="FU209" s="26" t="s">
        <v>40</v>
      </c>
      <c r="FW209" s="26" t="s">
        <v>40</v>
      </c>
      <c r="FY209" s="26" t="s">
        <v>40</v>
      </c>
      <c r="GA209" s="26" t="s">
        <v>40</v>
      </c>
      <c r="GC209" s="26" t="s">
        <v>40</v>
      </c>
      <c r="GE209" s="26" t="s">
        <v>40</v>
      </c>
      <c r="GG209" s="26" t="s">
        <v>40</v>
      </c>
      <c r="GI209" s="26" t="s">
        <v>40</v>
      </c>
      <c r="GK209" s="26" t="s">
        <v>40</v>
      </c>
      <c r="GM209" s="26" t="s">
        <v>40</v>
      </c>
      <c r="GO209" s="26" t="s">
        <v>40</v>
      </c>
      <c r="GQ209" s="26" t="s">
        <v>40</v>
      </c>
      <c r="GS209" s="26" t="s">
        <v>40</v>
      </c>
      <c r="GU209" s="26" t="s">
        <v>40</v>
      </c>
      <c r="GW209" s="26" t="s">
        <v>40</v>
      </c>
      <c r="GY209" s="26" t="s">
        <v>40</v>
      </c>
      <c r="HA209" s="26" t="s">
        <v>40</v>
      </c>
      <c r="HC209" s="26" t="s">
        <v>40</v>
      </c>
    </row>
    <row r="210" spans="133:211" x14ac:dyDescent="0.2">
      <c r="EC210" s="10" t="s">
        <v>40</v>
      </c>
      <c r="EE210" s="10" t="s">
        <v>40</v>
      </c>
      <c r="EG210" s="10" t="s">
        <v>40</v>
      </c>
      <c r="EI210" s="10" t="s">
        <v>40</v>
      </c>
      <c r="EK210" s="10" t="s">
        <v>40</v>
      </c>
      <c r="EM210" s="10" t="s">
        <v>40</v>
      </c>
      <c r="EO210" s="10" t="s">
        <v>40</v>
      </c>
      <c r="EQ210" s="10" t="s">
        <v>40</v>
      </c>
      <c r="ES210" s="10" t="s">
        <v>40</v>
      </c>
      <c r="EU210" s="10" t="s">
        <v>40</v>
      </c>
      <c r="EW210" s="10" t="s">
        <v>40</v>
      </c>
      <c r="EY210" s="10" t="s">
        <v>40</v>
      </c>
      <c r="FA210" s="10" t="s">
        <v>40</v>
      </c>
      <c r="FC210" s="10" t="s">
        <v>40</v>
      </c>
      <c r="FE210" s="10" t="s">
        <v>40</v>
      </c>
      <c r="FG210" s="10" t="s">
        <v>40</v>
      </c>
      <c r="FI210" s="10" t="s">
        <v>40</v>
      </c>
      <c r="FK210" s="10" t="s">
        <v>40</v>
      </c>
      <c r="FM210" s="10" t="s">
        <v>40</v>
      </c>
      <c r="FO210" s="10" t="s">
        <v>40</v>
      </c>
      <c r="FQ210" s="10" t="s">
        <v>40</v>
      </c>
      <c r="FS210" s="10" t="s">
        <v>40</v>
      </c>
      <c r="FU210" s="10" t="s">
        <v>40</v>
      </c>
      <c r="FW210" s="10" t="s">
        <v>40</v>
      </c>
      <c r="FY210" s="10" t="s">
        <v>40</v>
      </c>
      <c r="GA210" s="10" t="s">
        <v>40</v>
      </c>
      <c r="GC210" s="10" t="s">
        <v>40</v>
      </c>
      <c r="GE210" s="10" t="s">
        <v>40</v>
      </c>
      <c r="GG210" s="10" t="s">
        <v>40</v>
      </c>
      <c r="GI210" s="10" t="s">
        <v>40</v>
      </c>
      <c r="GK210" s="10" t="s">
        <v>40</v>
      </c>
      <c r="GM210" s="10" t="s">
        <v>40</v>
      </c>
      <c r="GO210" s="10" t="s">
        <v>40</v>
      </c>
      <c r="GQ210" s="10" t="s">
        <v>40</v>
      </c>
      <c r="GS210" s="10" t="s">
        <v>40</v>
      </c>
      <c r="GU210" s="10" t="s">
        <v>40</v>
      </c>
      <c r="GW210" s="10" t="s">
        <v>40</v>
      </c>
      <c r="GY210" s="10" t="s">
        <v>40</v>
      </c>
      <c r="HA210" s="10" t="s">
        <v>40</v>
      </c>
      <c r="HC210" s="10" t="s">
        <v>40</v>
      </c>
    </row>
    <row r="212" spans="133:211" x14ac:dyDescent="0.2">
      <c r="EE212" s="26" t="s">
        <v>40</v>
      </c>
      <c r="EG212" s="26" t="s">
        <v>40</v>
      </c>
      <c r="EI212" s="26" t="s">
        <v>40</v>
      </c>
      <c r="EK212" s="26" t="s">
        <v>40</v>
      </c>
      <c r="EM212" s="26" t="s">
        <v>40</v>
      </c>
      <c r="EO212" s="26" t="s">
        <v>40</v>
      </c>
      <c r="EQ212" s="26" t="s">
        <v>40</v>
      </c>
      <c r="ES212" s="26" t="s">
        <v>40</v>
      </c>
      <c r="EU212" s="26" t="s">
        <v>40</v>
      </c>
      <c r="EW212" s="26" t="s">
        <v>40</v>
      </c>
      <c r="EY212" s="26" t="s">
        <v>40</v>
      </c>
      <c r="FA212" s="26" t="s">
        <v>40</v>
      </c>
      <c r="FC212" s="26" t="s">
        <v>40</v>
      </c>
      <c r="FE212" s="26" t="s">
        <v>40</v>
      </c>
      <c r="FG212" s="26" t="s">
        <v>40</v>
      </c>
      <c r="FI212" s="26" t="s">
        <v>40</v>
      </c>
      <c r="FK212" s="26" t="s">
        <v>40</v>
      </c>
      <c r="FM212" s="26" t="s">
        <v>40</v>
      </c>
      <c r="FO212" s="26" t="s">
        <v>40</v>
      </c>
      <c r="FQ212" s="26" t="s">
        <v>40</v>
      </c>
      <c r="FS212" s="26" t="s">
        <v>40</v>
      </c>
      <c r="FU212" s="26" t="s">
        <v>40</v>
      </c>
      <c r="FW212" s="26" t="s">
        <v>40</v>
      </c>
      <c r="FY212" s="26" t="s">
        <v>40</v>
      </c>
      <c r="GA212" s="26" t="s">
        <v>40</v>
      </c>
      <c r="GC212" s="26" t="s">
        <v>40</v>
      </c>
      <c r="GE212" s="26" t="s">
        <v>40</v>
      </c>
      <c r="GG212" s="26" t="s">
        <v>40</v>
      </c>
      <c r="GI212" s="26" t="s">
        <v>40</v>
      </c>
      <c r="GK212" s="26" t="s">
        <v>40</v>
      </c>
      <c r="GM212" s="26" t="s">
        <v>40</v>
      </c>
      <c r="GO212" s="26" t="s">
        <v>40</v>
      </c>
      <c r="GQ212" s="26" t="s">
        <v>40</v>
      </c>
      <c r="GS212" s="26" t="s">
        <v>40</v>
      </c>
      <c r="GU212" s="26" t="s">
        <v>40</v>
      </c>
      <c r="GW212" s="26" t="s">
        <v>40</v>
      </c>
      <c r="GY212" s="26" t="s">
        <v>40</v>
      </c>
      <c r="HA212" s="26" t="s">
        <v>40</v>
      </c>
      <c r="HC212" s="26" t="s">
        <v>40</v>
      </c>
    </row>
    <row r="213" spans="133:211" x14ac:dyDescent="0.2">
      <c r="EE213" s="10" t="s">
        <v>40</v>
      </c>
      <c r="EG213" s="10" t="s">
        <v>40</v>
      </c>
      <c r="EI213" s="10" t="s">
        <v>40</v>
      </c>
      <c r="EK213" s="10" t="s">
        <v>40</v>
      </c>
      <c r="EM213" s="10" t="s">
        <v>40</v>
      </c>
      <c r="EO213" s="10" t="s">
        <v>40</v>
      </c>
      <c r="EQ213" s="10" t="s">
        <v>40</v>
      </c>
      <c r="ES213" s="10" t="s">
        <v>40</v>
      </c>
      <c r="EU213" s="10" t="s">
        <v>40</v>
      </c>
      <c r="EW213" s="10" t="s">
        <v>40</v>
      </c>
      <c r="EY213" s="10" t="s">
        <v>40</v>
      </c>
      <c r="FA213" s="10" t="s">
        <v>40</v>
      </c>
      <c r="FC213" s="10" t="s">
        <v>40</v>
      </c>
      <c r="FE213" s="10" t="s">
        <v>40</v>
      </c>
      <c r="FG213" s="10" t="s">
        <v>40</v>
      </c>
      <c r="FI213" s="10" t="s">
        <v>40</v>
      </c>
      <c r="FK213" s="10" t="s">
        <v>40</v>
      </c>
      <c r="FM213" s="10" t="s">
        <v>40</v>
      </c>
      <c r="FO213" s="10" t="s">
        <v>40</v>
      </c>
      <c r="FQ213" s="10" t="s">
        <v>40</v>
      </c>
      <c r="FS213" s="10" t="s">
        <v>40</v>
      </c>
      <c r="FU213" s="10" t="s">
        <v>40</v>
      </c>
      <c r="FW213" s="10" t="s">
        <v>40</v>
      </c>
      <c r="FY213" s="10" t="s">
        <v>40</v>
      </c>
      <c r="GA213" s="10" t="s">
        <v>40</v>
      </c>
      <c r="GC213" s="10" t="s">
        <v>40</v>
      </c>
      <c r="GE213" s="10" t="s">
        <v>40</v>
      </c>
      <c r="GG213" s="10" t="s">
        <v>40</v>
      </c>
      <c r="GI213" s="10" t="s">
        <v>40</v>
      </c>
      <c r="GK213" s="10" t="s">
        <v>40</v>
      </c>
      <c r="GM213" s="10" t="s">
        <v>40</v>
      </c>
      <c r="GO213" s="10" t="s">
        <v>40</v>
      </c>
      <c r="GQ213" s="10" t="s">
        <v>40</v>
      </c>
      <c r="GS213" s="10" t="s">
        <v>40</v>
      </c>
      <c r="GU213" s="10" t="s">
        <v>40</v>
      </c>
      <c r="GW213" s="10" t="s">
        <v>40</v>
      </c>
      <c r="GY213" s="10" t="s">
        <v>40</v>
      </c>
      <c r="HA213" s="10" t="s">
        <v>40</v>
      </c>
      <c r="HC213" s="10" t="s">
        <v>40</v>
      </c>
    </row>
    <row r="215" spans="133:211" x14ac:dyDescent="0.2">
      <c r="EG215" s="26" t="s">
        <v>40</v>
      </c>
      <c r="EI215" s="26" t="s">
        <v>40</v>
      </c>
      <c r="EK215" s="26" t="s">
        <v>40</v>
      </c>
      <c r="EM215" s="26" t="s">
        <v>40</v>
      </c>
      <c r="EO215" s="26" t="s">
        <v>40</v>
      </c>
      <c r="EQ215" s="26" t="s">
        <v>40</v>
      </c>
      <c r="ES215" s="26" t="s">
        <v>40</v>
      </c>
      <c r="EU215" s="26" t="s">
        <v>40</v>
      </c>
      <c r="EW215" s="26" t="s">
        <v>40</v>
      </c>
      <c r="EY215" s="26" t="s">
        <v>40</v>
      </c>
      <c r="FA215" s="26" t="s">
        <v>40</v>
      </c>
      <c r="FC215" s="26" t="s">
        <v>40</v>
      </c>
      <c r="FE215" s="26" t="s">
        <v>40</v>
      </c>
      <c r="FG215" s="26" t="s">
        <v>40</v>
      </c>
      <c r="FI215" s="26" t="s">
        <v>40</v>
      </c>
      <c r="FK215" s="26" t="s">
        <v>40</v>
      </c>
      <c r="FM215" s="26" t="s">
        <v>40</v>
      </c>
      <c r="FO215" s="26" t="s">
        <v>40</v>
      </c>
      <c r="FQ215" s="26" t="s">
        <v>40</v>
      </c>
      <c r="FS215" s="26" t="s">
        <v>40</v>
      </c>
      <c r="FU215" s="26" t="s">
        <v>40</v>
      </c>
      <c r="FW215" s="26" t="s">
        <v>40</v>
      </c>
      <c r="FY215" s="26" t="s">
        <v>40</v>
      </c>
      <c r="GA215" s="26" t="s">
        <v>40</v>
      </c>
      <c r="GC215" s="26" t="s">
        <v>40</v>
      </c>
      <c r="GE215" s="26" t="s">
        <v>40</v>
      </c>
      <c r="GG215" s="26" t="s">
        <v>40</v>
      </c>
      <c r="GI215" s="26" t="s">
        <v>40</v>
      </c>
      <c r="GK215" s="26" t="s">
        <v>40</v>
      </c>
      <c r="GM215" s="26" t="s">
        <v>40</v>
      </c>
      <c r="GO215" s="26" t="s">
        <v>40</v>
      </c>
      <c r="GQ215" s="26" t="s">
        <v>40</v>
      </c>
      <c r="GS215" s="26" t="s">
        <v>40</v>
      </c>
      <c r="GU215" s="26" t="s">
        <v>40</v>
      </c>
      <c r="GW215" s="26" t="s">
        <v>40</v>
      </c>
      <c r="GY215" s="26" t="s">
        <v>40</v>
      </c>
      <c r="HA215" s="26" t="s">
        <v>40</v>
      </c>
      <c r="HC215" s="26" t="s">
        <v>40</v>
      </c>
    </row>
    <row r="216" spans="133:211" x14ac:dyDescent="0.2">
      <c r="EG216" s="10" t="s">
        <v>40</v>
      </c>
      <c r="EI216" s="10" t="s">
        <v>40</v>
      </c>
      <c r="EK216" s="10" t="s">
        <v>40</v>
      </c>
      <c r="EM216" s="10" t="s">
        <v>40</v>
      </c>
      <c r="EO216" s="10" t="s">
        <v>40</v>
      </c>
      <c r="EQ216" s="10" t="s">
        <v>40</v>
      </c>
      <c r="ES216" s="10" t="s">
        <v>40</v>
      </c>
      <c r="EU216" s="10" t="s">
        <v>40</v>
      </c>
      <c r="EW216" s="10" t="s">
        <v>40</v>
      </c>
      <c r="EY216" s="10" t="s">
        <v>40</v>
      </c>
      <c r="FA216" s="10" t="s">
        <v>40</v>
      </c>
      <c r="FC216" s="10" t="s">
        <v>40</v>
      </c>
      <c r="FE216" s="10" t="s">
        <v>40</v>
      </c>
      <c r="FG216" s="10" t="s">
        <v>40</v>
      </c>
      <c r="FI216" s="10" t="s">
        <v>40</v>
      </c>
      <c r="FK216" s="10" t="s">
        <v>40</v>
      </c>
      <c r="FM216" s="10" t="s">
        <v>40</v>
      </c>
      <c r="FO216" s="10" t="s">
        <v>40</v>
      </c>
      <c r="FQ216" s="10" t="s">
        <v>40</v>
      </c>
      <c r="FS216" s="10" t="s">
        <v>40</v>
      </c>
      <c r="FU216" s="10" t="s">
        <v>40</v>
      </c>
      <c r="FW216" s="10" t="s">
        <v>40</v>
      </c>
      <c r="FY216" s="10" t="s">
        <v>40</v>
      </c>
      <c r="GA216" s="10" t="s">
        <v>40</v>
      </c>
      <c r="GC216" s="10" t="s">
        <v>40</v>
      </c>
      <c r="GE216" s="10" t="s">
        <v>40</v>
      </c>
      <c r="GG216" s="10" t="s">
        <v>40</v>
      </c>
      <c r="GI216" s="10" t="s">
        <v>40</v>
      </c>
      <c r="GK216" s="10" t="s">
        <v>40</v>
      </c>
      <c r="GM216" s="10" t="s">
        <v>40</v>
      </c>
      <c r="GO216" s="10" t="s">
        <v>40</v>
      </c>
      <c r="GQ216" s="10" t="s">
        <v>40</v>
      </c>
      <c r="GS216" s="10" t="s">
        <v>40</v>
      </c>
      <c r="GU216" s="10" t="s">
        <v>40</v>
      </c>
      <c r="GW216" s="10" t="s">
        <v>40</v>
      </c>
      <c r="GY216" s="10" t="s">
        <v>40</v>
      </c>
      <c r="HA216" s="10" t="s">
        <v>40</v>
      </c>
      <c r="HC216" s="10" t="s">
        <v>40</v>
      </c>
    </row>
    <row r="218" spans="133:211" x14ac:dyDescent="0.2">
      <c r="EI218" s="26" t="s">
        <v>40</v>
      </c>
      <c r="EK218" s="26" t="s">
        <v>40</v>
      </c>
      <c r="EM218" s="26" t="s">
        <v>40</v>
      </c>
      <c r="EO218" s="26" t="s">
        <v>40</v>
      </c>
      <c r="EQ218" s="26" t="s">
        <v>40</v>
      </c>
      <c r="ES218" s="26" t="s">
        <v>40</v>
      </c>
      <c r="EU218" s="26" t="s">
        <v>40</v>
      </c>
      <c r="EW218" s="26" t="s">
        <v>40</v>
      </c>
      <c r="EY218" s="26" t="s">
        <v>40</v>
      </c>
      <c r="FA218" s="26" t="s">
        <v>40</v>
      </c>
      <c r="FC218" s="26" t="s">
        <v>40</v>
      </c>
      <c r="FE218" s="26" t="s">
        <v>40</v>
      </c>
      <c r="FG218" s="26" t="s">
        <v>40</v>
      </c>
      <c r="FI218" s="26" t="s">
        <v>40</v>
      </c>
      <c r="FK218" s="26" t="s">
        <v>40</v>
      </c>
      <c r="FM218" s="26" t="s">
        <v>40</v>
      </c>
      <c r="FO218" s="26" t="s">
        <v>40</v>
      </c>
      <c r="FQ218" s="26" t="s">
        <v>40</v>
      </c>
      <c r="FS218" s="26" t="s">
        <v>40</v>
      </c>
      <c r="FU218" s="26" t="s">
        <v>40</v>
      </c>
      <c r="FW218" s="26" t="s">
        <v>40</v>
      </c>
      <c r="FY218" s="26" t="s">
        <v>40</v>
      </c>
      <c r="GA218" s="26" t="s">
        <v>40</v>
      </c>
      <c r="GC218" s="26" t="s">
        <v>40</v>
      </c>
      <c r="GE218" s="26" t="s">
        <v>40</v>
      </c>
      <c r="GG218" s="26" t="s">
        <v>40</v>
      </c>
      <c r="GI218" s="26" t="s">
        <v>40</v>
      </c>
      <c r="GK218" s="26" t="s">
        <v>40</v>
      </c>
      <c r="GM218" s="26" t="s">
        <v>40</v>
      </c>
      <c r="GO218" s="26" t="s">
        <v>40</v>
      </c>
      <c r="GQ218" s="26" t="s">
        <v>40</v>
      </c>
      <c r="GS218" s="26" t="s">
        <v>40</v>
      </c>
      <c r="GU218" s="26" t="s">
        <v>40</v>
      </c>
      <c r="GW218" s="26" t="s">
        <v>40</v>
      </c>
      <c r="GY218" s="26" t="s">
        <v>40</v>
      </c>
      <c r="HA218" s="26" t="s">
        <v>40</v>
      </c>
      <c r="HC218" s="26" t="s">
        <v>40</v>
      </c>
    </row>
    <row r="219" spans="133:211" x14ac:dyDescent="0.2">
      <c r="EI219" s="10" t="s">
        <v>40</v>
      </c>
      <c r="EK219" s="10" t="s">
        <v>40</v>
      </c>
      <c r="EM219" s="10" t="s">
        <v>40</v>
      </c>
      <c r="EO219" s="10" t="s">
        <v>40</v>
      </c>
      <c r="EQ219" s="10" t="s">
        <v>40</v>
      </c>
      <c r="ES219" s="10" t="s">
        <v>40</v>
      </c>
      <c r="EU219" s="10" t="s">
        <v>40</v>
      </c>
      <c r="EW219" s="10" t="s">
        <v>40</v>
      </c>
      <c r="EY219" s="10" t="s">
        <v>40</v>
      </c>
      <c r="FA219" s="10" t="s">
        <v>40</v>
      </c>
      <c r="FC219" s="10" t="s">
        <v>40</v>
      </c>
      <c r="FE219" s="10" t="s">
        <v>40</v>
      </c>
      <c r="FG219" s="10" t="s">
        <v>40</v>
      </c>
      <c r="FI219" s="10" t="s">
        <v>40</v>
      </c>
      <c r="FK219" s="10" t="s">
        <v>40</v>
      </c>
      <c r="FM219" s="10" t="s">
        <v>40</v>
      </c>
      <c r="FO219" s="10" t="s">
        <v>40</v>
      </c>
      <c r="FQ219" s="10" t="s">
        <v>40</v>
      </c>
      <c r="FS219" s="10" t="s">
        <v>40</v>
      </c>
      <c r="FU219" s="10" t="s">
        <v>40</v>
      </c>
      <c r="FW219" s="10" t="s">
        <v>40</v>
      </c>
      <c r="FY219" s="10" t="s">
        <v>40</v>
      </c>
      <c r="GA219" s="10" t="s">
        <v>40</v>
      </c>
      <c r="GC219" s="10" t="s">
        <v>40</v>
      </c>
      <c r="GE219" s="10" t="s">
        <v>40</v>
      </c>
      <c r="GG219" s="10" t="s">
        <v>40</v>
      </c>
      <c r="GI219" s="10" t="s">
        <v>40</v>
      </c>
      <c r="GK219" s="10" t="s">
        <v>40</v>
      </c>
      <c r="GM219" s="10" t="s">
        <v>40</v>
      </c>
      <c r="GO219" s="10" t="s">
        <v>40</v>
      </c>
      <c r="GQ219" s="10" t="s">
        <v>40</v>
      </c>
      <c r="GS219" s="10" t="s">
        <v>40</v>
      </c>
      <c r="GU219" s="10" t="s">
        <v>40</v>
      </c>
      <c r="GW219" s="10" t="s">
        <v>40</v>
      </c>
      <c r="GY219" s="10" t="s">
        <v>40</v>
      </c>
      <c r="HA219" s="10" t="s">
        <v>40</v>
      </c>
      <c r="HC219" s="10" t="s">
        <v>40</v>
      </c>
    </row>
    <row r="221" spans="133:211" x14ac:dyDescent="0.2">
      <c r="EK221" s="26" t="s">
        <v>40</v>
      </c>
      <c r="EM221" s="26" t="s">
        <v>40</v>
      </c>
      <c r="EO221" s="26" t="s">
        <v>40</v>
      </c>
      <c r="EQ221" s="26" t="s">
        <v>40</v>
      </c>
      <c r="ES221" s="26" t="s">
        <v>40</v>
      </c>
      <c r="EU221" s="26" t="s">
        <v>40</v>
      </c>
      <c r="EW221" s="26" t="s">
        <v>40</v>
      </c>
      <c r="EY221" s="26" t="s">
        <v>40</v>
      </c>
      <c r="FA221" s="26" t="s">
        <v>40</v>
      </c>
      <c r="FC221" s="26" t="s">
        <v>40</v>
      </c>
      <c r="FE221" s="26" t="s">
        <v>40</v>
      </c>
      <c r="FG221" s="26" t="s">
        <v>40</v>
      </c>
      <c r="FI221" s="26" t="s">
        <v>40</v>
      </c>
      <c r="FK221" s="26" t="s">
        <v>40</v>
      </c>
      <c r="FM221" s="26" t="s">
        <v>40</v>
      </c>
      <c r="FO221" s="26" t="s">
        <v>40</v>
      </c>
      <c r="FQ221" s="26" t="s">
        <v>40</v>
      </c>
      <c r="FS221" s="26" t="s">
        <v>40</v>
      </c>
      <c r="FU221" s="26" t="s">
        <v>40</v>
      </c>
      <c r="FW221" s="26" t="s">
        <v>40</v>
      </c>
      <c r="FY221" s="26" t="s">
        <v>40</v>
      </c>
      <c r="GA221" s="26" t="s">
        <v>40</v>
      </c>
      <c r="GC221" s="26" t="s">
        <v>40</v>
      </c>
      <c r="GE221" s="26" t="s">
        <v>40</v>
      </c>
      <c r="GG221" s="26" t="s">
        <v>40</v>
      </c>
      <c r="GI221" s="26" t="s">
        <v>40</v>
      </c>
      <c r="GK221" s="26" t="s">
        <v>40</v>
      </c>
      <c r="GM221" s="26" t="s">
        <v>40</v>
      </c>
      <c r="GO221" s="26" t="s">
        <v>40</v>
      </c>
      <c r="GQ221" s="26" t="s">
        <v>40</v>
      </c>
      <c r="GS221" s="26" t="s">
        <v>40</v>
      </c>
      <c r="GU221" s="26" t="s">
        <v>40</v>
      </c>
      <c r="GW221" s="26" t="s">
        <v>40</v>
      </c>
      <c r="GY221" s="26" t="s">
        <v>40</v>
      </c>
      <c r="HA221" s="26" t="s">
        <v>40</v>
      </c>
      <c r="HC221" s="26" t="s">
        <v>40</v>
      </c>
    </row>
    <row r="222" spans="133:211" x14ac:dyDescent="0.2">
      <c r="EK222" s="10" t="s">
        <v>40</v>
      </c>
      <c r="EM222" s="10" t="s">
        <v>40</v>
      </c>
      <c r="EO222" s="10" t="s">
        <v>40</v>
      </c>
      <c r="EQ222" s="10" t="s">
        <v>40</v>
      </c>
      <c r="ES222" s="10" t="s">
        <v>40</v>
      </c>
      <c r="EU222" s="10" t="s">
        <v>40</v>
      </c>
      <c r="EW222" s="10" t="s">
        <v>40</v>
      </c>
      <c r="EY222" s="10" t="s">
        <v>40</v>
      </c>
      <c r="FA222" s="10" t="s">
        <v>40</v>
      </c>
      <c r="FC222" s="10" t="s">
        <v>40</v>
      </c>
      <c r="FE222" s="10" t="s">
        <v>40</v>
      </c>
      <c r="FG222" s="10" t="s">
        <v>40</v>
      </c>
      <c r="FI222" s="10" t="s">
        <v>40</v>
      </c>
      <c r="FK222" s="10" t="s">
        <v>40</v>
      </c>
      <c r="FM222" s="10" t="s">
        <v>40</v>
      </c>
      <c r="FO222" s="10" t="s">
        <v>40</v>
      </c>
      <c r="FQ222" s="10" t="s">
        <v>40</v>
      </c>
      <c r="FS222" s="10" t="s">
        <v>40</v>
      </c>
      <c r="FU222" s="10" t="s">
        <v>40</v>
      </c>
      <c r="FW222" s="10" t="s">
        <v>40</v>
      </c>
      <c r="FY222" s="10" t="s">
        <v>40</v>
      </c>
      <c r="GA222" s="10" t="s">
        <v>40</v>
      </c>
      <c r="GC222" s="10" t="s">
        <v>40</v>
      </c>
      <c r="GE222" s="10" t="s">
        <v>40</v>
      </c>
      <c r="GG222" s="10" t="s">
        <v>40</v>
      </c>
      <c r="GI222" s="10" t="s">
        <v>40</v>
      </c>
      <c r="GK222" s="10" t="s">
        <v>40</v>
      </c>
      <c r="GM222" s="10" t="s">
        <v>40</v>
      </c>
      <c r="GO222" s="10" t="s">
        <v>40</v>
      </c>
      <c r="GQ222" s="10" t="s">
        <v>40</v>
      </c>
      <c r="GS222" s="10" t="s">
        <v>40</v>
      </c>
      <c r="GU222" s="10" t="s">
        <v>40</v>
      </c>
      <c r="GW222" s="10" t="s">
        <v>40</v>
      </c>
      <c r="GY222" s="10" t="s">
        <v>40</v>
      </c>
      <c r="HA222" s="10" t="s">
        <v>40</v>
      </c>
      <c r="HC222" s="10" t="s">
        <v>40</v>
      </c>
    </row>
    <row r="224" spans="133:211" x14ac:dyDescent="0.2">
      <c r="EM224" s="26" t="s">
        <v>40</v>
      </c>
      <c r="EO224" s="26" t="s">
        <v>40</v>
      </c>
      <c r="EQ224" s="26" t="s">
        <v>40</v>
      </c>
      <c r="ES224" s="26" t="s">
        <v>40</v>
      </c>
      <c r="EU224" s="26" t="s">
        <v>40</v>
      </c>
      <c r="EW224" s="26" t="s">
        <v>40</v>
      </c>
      <c r="EY224" s="26" t="s">
        <v>40</v>
      </c>
      <c r="FA224" s="26" t="s">
        <v>40</v>
      </c>
      <c r="FC224" s="26" t="s">
        <v>40</v>
      </c>
      <c r="FE224" s="26" t="s">
        <v>40</v>
      </c>
      <c r="FG224" s="26" t="s">
        <v>40</v>
      </c>
      <c r="FI224" s="26" t="s">
        <v>40</v>
      </c>
      <c r="FK224" s="26" t="s">
        <v>40</v>
      </c>
      <c r="FM224" s="26" t="s">
        <v>40</v>
      </c>
      <c r="FO224" s="26" t="s">
        <v>40</v>
      </c>
      <c r="FQ224" s="26" t="s">
        <v>40</v>
      </c>
      <c r="FS224" s="26" t="s">
        <v>40</v>
      </c>
      <c r="FU224" s="26" t="s">
        <v>40</v>
      </c>
      <c r="FW224" s="26" t="s">
        <v>40</v>
      </c>
      <c r="FY224" s="26" t="s">
        <v>40</v>
      </c>
      <c r="GA224" s="26" t="s">
        <v>40</v>
      </c>
      <c r="GC224" s="26" t="s">
        <v>40</v>
      </c>
      <c r="GE224" s="26" t="s">
        <v>40</v>
      </c>
      <c r="GG224" s="26" t="s">
        <v>40</v>
      </c>
      <c r="GI224" s="26" t="s">
        <v>40</v>
      </c>
      <c r="GK224" s="26" t="s">
        <v>40</v>
      </c>
      <c r="GM224" s="26" t="s">
        <v>40</v>
      </c>
      <c r="GO224" s="26" t="s">
        <v>40</v>
      </c>
      <c r="GQ224" s="26" t="s">
        <v>40</v>
      </c>
      <c r="GS224" s="26" t="s">
        <v>40</v>
      </c>
      <c r="GU224" s="26" t="s">
        <v>40</v>
      </c>
      <c r="GW224" s="26" t="s">
        <v>40</v>
      </c>
      <c r="GY224" s="26" t="s">
        <v>40</v>
      </c>
      <c r="HA224" s="26" t="s">
        <v>40</v>
      </c>
      <c r="HC224" s="26" t="s">
        <v>40</v>
      </c>
    </row>
    <row r="225" spans="143:211" x14ac:dyDescent="0.2">
      <c r="EM225" s="10" t="s">
        <v>40</v>
      </c>
      <c r="EO225" s="10" t="s">
        <v>40</v>
      </c>
      <c r="EQ225" s="10" t="s">
        <v>40</v>
      </c>
      <c r="ES225" s="10" t="s">
        <v>40</v>
      </c>
      <c r="EU225" s="10" t="s">
        <v>40</v>
      </c>
      <c r="EW225" s="10" t="s">
        <v>40</v>
      </c>
      <c r="EY225" s="10" t="s">
        <v>40</v>
      </c>
      <c r="FA225" s="10" t="s">
        <v>40</v>
      </c>
      <c r="FC225" s="10" t="s">
        <v>40</v>
      </c>
      <c r="FE225" s="10" t="s">
        <v>40</v>
      </c>
      <c r="FG225" s="10" t="s">
        <v>40</v>
      </c>
      <c r="FI225" s="10" t="s">
        <v>40</v>
      </c>
      <c r="FK225" s="10" t="s">
        <v>40</v>
      </c>
      <c r="FM225" s="10" t="s">
        <v>40</v>
      </c>
      <c r="FO225" s="10" t="s">
        <v>40</v>
      </c>
      <c r="FQ225" s="10" t="s">
        <v>40</v>
      </c>
      <c r="FS225" s="10" t="s">
        <v>40</v>
      </c>
      <c r="FU225" s="10" t="s">
        <v>40</v>
      </c>
      <c r="FW225" s="10" t="s">
        <v>40</v>
      </c>
      <c r="FY225" s="10" t="s">
        <v>40</v>
      </c>
      <c r="GA225" s="10" t="s">
        <v>40</v>
      </c>
      <c r="GC225" s="10" t="s">
        <v>40</v>
      </c>
      <c r="GE225" s="10" t="s">
        <v>40</v>
      </c>
      <c r="GG225" s="10" t="s">
        <v>40</v>
      </c>
      <c r="GI225" s="10" t="s">
        <v>40</v>
      </c>
      <c r="GK225" s="10" t="s">
        <v>40</v>
      </c>
      <c r="GM225" s="10" t="s">
        <v>40</v>
      </c>
      <c r="GO225" s="10" t="s">
        <v>40</v>
      </c>
      <c r="GQ225" s="10" t="s">
        <v>40</v>
      </c>
      <c r="GS225" s="10" t="s">
        <v>40</v>
      </c>
      <c r="GU225" s="10" t="s">
        <v>40</v>
      </c>
      <c r="GW225" s="10" t="s">
        <v>40</v>
      </c>
      <c r="GY225" s="10" t="s">
        <v>40</v>
      </c>
      <c r="HA225" s="10" t="s">
        <v>40</v>
      </c>
      <c r="HC225" s="10" t="s">
        <v>40</v>
      </c>
    </row>
    <row r="227" spans="143:211" x14ac:dyDescent="0.2">
      <c r="EO227" s="26" t="s">
        <v>40</v>
      </c>
      <c r="EQ227" s="26" t="s">
        <v>40</v>
      </c>
      <c r="ES227" s="26" t="s">
        <v>40</v>
      </c>
      <c r="EU227" s="26" t="s">
        <v>40</v>
      </c>
      <c r="EW227" s="26" t="s">
        <v>40</v>
      </c>
      <c r="EY227" s="26" t="s">
        <v>40</v>
      </c>
      <c r="FA227" s="26" t="s">
        <v>40</v>
      </c>
      <c r="FC227" s="26" t="s">
        <v>40</v>
      </c>
      <c r="FE227" s="26" t="s">
        <v>40</v>
      </c>
      <c r="FG227" s="26" t="s">
        <v>40</v>
      </c>
      <c r="FI227" s="26" t="s">
        <v>40</v>
      </c>
      <c r="FK227" s="26" t="s">
        <v>40</v>
      </c>
      <c r="FM227" s="26" t="s">
        <v>40</v>
      </c>
      <c r="FO227" s="26" t="s">
        <v>40</v>
      </c>
      <c r="FQ227" s="26" t="s">
        <v>40</v>
      </c>
      <c r="FS227" s="26" t="s">
        <v>40</v>
      </c>
      <c r="FU227" s="26" t="s">
        <v>40</v>
      </c>
      <c r="FW227" s="26" t="s">
        <v>40</v>
      </c>
      <c r="FY227" s="26" t="s">
        <v>40</v>
      </c>
      <c r="GA227" s="26" t="s">
        <v>40</v>
      </c>
      <c r="GC227" s="26" t="s">
        <v>40</v>
      </c>
      <c r="GE227" s="26" t="s">
        <v>40</v>
      </c>
      <c r="GG227" s="26" t="s">
        <v>40</v>
      </c>
      <c r="GI227" s="26" t="s">
        <v>40</v>
      </c>
      <c r="GK227" s="26" t="s">
        <v>40</v>
      </c>
      <c r="GM227" s="26" t="s">
        <v>40</v>
      </c>
      <c r="GO227" s="26" t="s">
        <v>40</v>
      </c>
      <c r="GQ227" s="26" t="s">
        <v>40</v>
      </c>
      <c r="GS227" s="26" t="s">
        <v>40</v>
      </c>
      <c r="GU227" s="26" t="s">
        <v>40</v>
      </c>
      <c r="GW227" s="26" t="s">
        <v>40</v>
      </c>
      <c r="GY227" s="26" t="s">
        <v>40</v>
      </c>
      <c r="HA227" s="26" t="s">
        <v>40</v>
      </c>
      <c r="HC227" s="26" t="s">
        <v>40</v>
      </c>
    </row>
    <row r="228" spans="143:211" x14ac:dyDescent="0.2">
      <c r="EO228" s="10" t="s">
        <v>40</v>
      </c>
      <c r="EQ228" s="10" t="s">
        <v>40</v>
      </c>
      <c r="ES228" s="10" t="s">
        <v>40</v>
      </c>
      <c r="EU228" s="10" t="s">
        <v>40</v>
      </c>
      <c r="EW228" s="10" t="s">
        <v>40</v>
      </c>
      <c r="EY228" s="10" t="s">
        <v>40</v>
      </c>
      <c r="FA228" s="10" t="s">
        <v>40</v>
      </c>
      <c r="FC228" s="10" t="s">
        <v>40</v>
      </c>
      <c r="FE228" s="10" t="s">
        <v>40</v>
      </c>
      <c r="FG228" s="10" t="s">
        <v>40</v>
      </c>
      <c r="FI228" s="10" t="s">
        <v>40</v>
      </c>
      <c r="FK228" s="10" t="s">
        <v>40</v>
      </c>
      <c r="FM228" s="10" t="s">
        <v>40</v>
      </c>
      <c r="FO228" s="10" t="s">
        <v>40</v>
      </c>
      <c r="FQ228" s="10" t="s">
        <v>40</v>
      </c>
      <c r="FS228" s="10" t="s">
        <v>40</v>
      </c>
      <c r="FU228" s="10" t="s">
        <v>40</v>
      </c>
      <c r="FW228" s="10" t="s">
        <v>40</v>
      </c>
      <c r="FY228" s="10" t="s">
        <v>40</v>
      </c>
      <c r="GA228" s="10" t="s">
        <v>40</v>
      </c>
      <c r="GC228" s="10" t="s">
        <v>40</v>
      </c>
      <c r="GE228" s="10" t="s">
        <v>40</v>
      </c>
      <c r="GG228" s="10" t="s">
        <v>40</v>
      </c>
      <c r="GI228" s="10" t="s">
        <v>40</v>
      </c>
      <c r="GK228" s="10" t="s">
        <v>40</v>
      </c>
      <c r="GM228" s="10" t="s">
        <v>40</v>
      </c>
      <c r="GO228" s="10" t="s">
        <v>40</v>
      </c>
      <c r="GQ228" s="10" t="s">
        <v>40</v>
      </c>
      <c r="GS228" s="10" t="s">
        <v>40</v>
      </c>
      <c r="GU228" s="10" t="s">
        <v>40</v>
      </c>
      <c r="GW228" s="10" t="s">
        <v>40</v>
      </c>
      <c r="GY228" s="10" t="s">
        <v>40</v>
      </c>
      <c r="HA228" s="10" t="s">
        <v>40</v>
      </c>
      <c r="HC228" s="10" t="s">
        <v>40</v>
      </c>
    </row>
    <row r="230" spans="143:211" x14ac:dyDescent="0.2">
      <c r="EQ230" s="26" t="s">
        <v>40</v>
      </c>
      <c r="ES230" s="26" t="s">
        <v>40</v>
      </c>
      <c r="EU230" s="26" t="s">
        <v>40</v>
      </c>
      <c r="EW230" s="26" t="s">
        <v>40</v>
      </c>
      <c r="EY230" s="26" t="s">
        <v>40</v>
      </c>
      <c r="FA230" s="26" t="s">
        <v>40</v>
      </c>
      <c r="FC230" s="26" t="s">
        <v>40</v>
      </c>
      <c r="FE230" s="26" t="s">
        <v>40</v>
      </c>
      <c r="FG230" s="26" t="s">
        <v>40</v>
      </c>
      <c r="FI230" s="26" t="s">
        <v>40</v>
      </c>
      <c r="FK230" s="26" t="s">
        <v>40</v>
      </c>
      <c r="FM230" s="26" t="s">
        <v>40</v>
      </c>
      <c r="FO230" s="26" t="s">
        <v>40</v>
      </c>
      <c r="FQ230" s="26" t="s">
        <v>40</v>
      </c>
      <c r="FS230" s="26" t="s">
        <v>40</v>
      </c>
      <c r="FU230" s="26" t="s">
        <v>40</v>
      </c>
      <c r="FW230" s="26" t="s">
        <v>40</v>
      </c>
      <c r="FY230" s="26" t="s">
        <v>40</v>
      </c>
      <c r="GA230" s="26" t="s">
        <v>40</v>
      </c>
      <c r="GC230" s="26" t="s">
        <v>40</v>
      </c>
      <c r="GE230" s="26" t="s">
        <v>40</v>
      </c>
      <c r="GG230" s="26" t="s">
        <v>40</v>
      </c>
      <c r="GI230" s="26" t="s">
        <v>40</v>
      </c>
      <c r="GK230" s="26" t="s">
        <v>40</v>
      </c>
      <c r="GM230" s="26" t="s">
        <v>40</v>
      </c>
      <c r="GO230" s="26" t="s">
        <v>40</v>
      </c>
      <c r="GQ230" s="26" t="s">
        <v>40</v>
      </c>
      <c r="GS230" s="26" t="s">
        <v>40</v>
      </c>
      <c r="GU230" s="26" t="s">
        <v>40</v>
      </c>
      <c r="GW230" s="26" t="s">
        <v>40</v>
      </c>
      <c r="GY230" s="26" t="s">
        <v>40</v>
      </c>
      <c r="HA230" s="26" t="s">
        <v>40</v>
      </c>
      <c r="HC230" s="26" t="s">
        <v>40</v>
      </c>
    </row>
    <row r="231" spans="143:211" x14ac:dyDescent="0.2">
      <c r="EQ231" s="10" t="s">
        <v>40</v>
      </c>
      <c r="ES231" s="10" t="s">
        <v>40</v>
      </c>
      <c r="EU231" s="10" t="s">
        <v>40</v>
      </c>
      <c r="EW231" s="10" t="s">
        <v>40</v>
      </c>
      <c r="EY231" s="10" t="s">
        <v>40</v>
      </c>
      <c r="FA231" s="10" t="s">
        <v>40</v>
      </c>
      <c r="FC231" s="10" t="s">
        <v>40</v>
      </c>
      <c r="FE231" s="10" t="s">
        <v>40</v>
      </c>
      <c r="FG231" s="10" t="s">
        <v>40</v>
      </c>
      <c r="FI231" s="10" t="s">
        <v>40</v>
      </c>
      <c r="FK231" s="10" t="s">
        <v>40</v>
      </c>
      <c r="FM231" s="10" t="s">
        <v>40</v>
      </c>
      <c r="FO231" s="10" t="s">
        <v>40</v>
      </c>
      <c r="FQ231" s="10" t="s">
        <v>40</v>
      </c>
      <c r="FS231" s="10" t="s">
        <v>40</v>
      </c>
      <c r="FU231" s="10" t="s">
        <v>40</v>
      </c>
      <c r="FW231" s="10" t="s">
        <v>40</v>
      </c>
      <c r="FY231" s="10" t="s">
        <v>40</v>
      </c>
      <c r="GA231" s="10" t="s">
        <v>40</v>
      </c>
      <c r="GC231" s="10" t="s">
        <v>40</v>
      </c>
      <c r="GE231" s="10" t="s">
        <v>40</v>
      </c>
      <c r="GG231" s="10" t="s">
        <v>40</v>
      </c>
      <c r="GI231" s="10" t="s">
        <v>40</v>
      </c>
      <c r="GK231" s="10" t="s">
        <v>40</v>
      </c>
      <c r="GM231" s="10" t="s">
        <v>40</v>
      </c>
      <c r="GO231" s="10" t="s">
        <v>40</v>
      </c>
      <c r="GQ231" s="10" t="s">
        <v>40</v>
      </c>
      <c r="GS231" s="10" t="s">
        <v>40</v>
      </c>
      <c r="GU231" s="10" t="s">
        <v>40</v>
      </c>
      <c r="GW231" s="10" t="s">
        <v>40</v>
      </c>
      <c r="GY231" s="10" t="s">
        <v>40</v>
      </c>
      <c r="HA231" s="10" t="s">
        <v>40</v>
      </c>
      <c r="HC231" s="10" t="s">
        <v>40</v>
      </c>
    </row>
    <row r="233" spans="143:211" x14ac:dyDescent="0.2">
      <c r="ES233" s="26" t="s">
        <v>40</v>
      </c>
      <c r="EU233" s="26" t="s">
        <v>40</v>
      </c>
      <c r="EW233" s="26" t="s">
        <v>40</v>
      </c>
      <c r="EY233" s="26" t="s">
        <v>40</v>
      </c>
      <c r="FA233" s="26" t="s">
        <v>40</v>
      </c>
      <c r="FC233" s="26" t="s">
        <v>40</v>
      </c>
      <c r="FE233" s="26" t="s">
        <v>40</v>
      </c>
      <c r="FG233" s="26" t="s">
        <v>40</v>
      </c>
      <c r="FI233" s="26" t="s">
        <v>40</v>
      </c>
      <c r="FK233" s="26" t="s">
        <v>40</v>
      </c>
      <c r="FM233" s="26" t="s">
        <v>40</v>
      </c>
      <c r="FO233" s="26" t="s">
        <v>40</v>
      </c>
      <c r="FQ233" s="26" t="s">
        <v>40</v>
      </c>
      <c r="FS233" s="26" t="s">
        <v>40</v>
      </c>
      <c r="FU233" s="26" t="s">
        <v>40</v>
      </c>
      <c r="FW233" s="26" t="s">
        <v>40</v>
      </c>
      <c r="FY233" s="26" t="s">
        <v>40</v>
      </c>
      <c r="GA233" s="26" t="s">
        <v>40</v>
      </c>
      <c r="GC233" s="26" t="s">
        <v>40</v>
      </c>
      <c r="GE233" s="26" t="s">
        <v>40</v>
      </c>
      <c r="GG233" s="26" t="s">
        <v>40</v>
      </c>
      <c r="GI233" s="26" t="s">
        <v>40</v>
      </c>
      <c r="GK233" s="26" t="s">
        <v>40</v>
      </c>
      <c r="GM233" s="26" t="s">
        <v>40</v>
      </c>
      <c r="GO233" s="26" t="s">
        <v>40</v>
      </c>
      <c r="GQ233" s="26" t="s">
        <v>40</v>
      </c>
      <c r="GS233" s="26" t="s">
        <v>40</v>
      </c>
      <c r="GU233" s="26" t="s">
        <v>40</v>
      </c>
      <c r="GW233" s="26" t="s">
        <v>40</v>
      </c>
      <c r="GY233" s="26" t="s">
        <v>40</v>
      </c>
      <c r="HA233" s="26" t="s">
        <v>40</v>
      </c>
      <c r="HC233" s="26" t="s">
        <v>40</v>
      </c>
    </row>
    <row r="234" spans="143:211" x14ac:dyDescent="0.2">
      <c r="ES234" s="10" t="s">
        <v>40</v>
      </c>
      <c r="EU234" s="10" t="s">
        <v>40</v>
      </c>
      <c r="EW234" s="10" t="s">
        <v>40</v>
      </c>
      <c r="EY234" s="10" t="s">
        <v>40</v>
      </c>
      <c r="FA234" s="10" t="s">
        <v>40</v>
      </c>
      <c r="FC234" s="10" t="s">
        <v>40</v>
      </c>
      <c r="FE234" s="10" t="s">
        <v>40</v>
      </c>
      <c r="FG234" s="10" t="s">
        <v>40</v>
      </c>
      <c r="FI234" s="10" t="s">
        <v>40</v>
      </c>
      <c r="FK234" s="10" t="s">
        <v>40</v>
      </c>
      <c r="FM234" s="10" t="s">
        <v>40</v>
      </c>
      <c r="FO234" s="10" t="s">
        <v>40</v>
      </c>
      <c r="FQ234" s="10" t="s">
        <v>40</v>
      </c>
      <c r="FS234" s="10" t="s">
        <v>40</v>
      </c>
      <c r="FU234" s="10" t="s">
        <v>40</v>
      </c>
      <c r="FW234" s="10" t="s">
        <v>40</v>
      </c>
      <c r="FY234" s="10" t="s">
        <v>40</v>
      </c>
      <c r="GA234" s="10" t="s">
        <v>40</v>
      </c>
      <c r="GC234" s="10" t="s">
        <v>40</v>
      </c>
      <c r="GE234" s="10" t="s">
        <v>40</v>
      </c>
      <c r="GG234" s="10" t="s">
        <v>40</v>
      </c>
      <c r="GI234" s="10" t="s">
        <v>40</v>
      </c>
      <c r="GK234" s="10" t="s">
        <v>40</v>
      </c>
      <c r="GM234" s="10" t="s">
        <v>40</v>
      </c>
      <c r="GO234" s="10" t="s">
        <v>40</v>
      </c>
      <c r="GQ234" s="10" t="s">
        <v>40</v>
      </c>
      <c r="GS234" s="10" t="s">
        <v>40</v>
      </c>
      <c r="GU234" s="10" t="s">
        <v>40</v>
      </c>
      <c r="GW234" s="10" t="s">
        <v>40</v>
      </c>
      <c r="GY234" s="10" t="s">
        <v>40</v>
      </c>
      <c r="HA234" s="10" t="s">
        <v>40</v>
      </c>
      <c r="HC234" s="10" t="s">
        <v>40</v>
      </c>
    </row>
    <row r="236" spans="143:211" x14ac:dyDescent="0.2">
      <c r="EU236" s="26" t="s">
        <v>40</v>
      </c>
      <c r="EW236" s="26" t="s">
        <v>40</v>
      </c>
      <c r="EY236" s="26" t="s">
        <v>40</v>
      </c>
      <c r="FA236" s="26" t="s">
        <v>40</v>
      </c>
      <c r="FC236" s="26" t="s">
        <v>40</v>
      </c>
      <c r="FE236" s="26" t="s">
        <v>40</v>
      </c>
      <c r="FG236" s="26" t="s">
        <v>40</v>
      </c>
      <c r="FI236" s="26" t="s">
        <v>40</v>
      </c>
      <c r="FK236" s="26" t="s">
        <v>40</v>
      </c>
      <c r="FM236" s="26" t="s">
        <v>40</v>
      </c>
      <c r="FO236" s="26" t="s">
        <v>40</v>
      </c>
      <c r="FQ236" s="26" t="s">
        <v>40</v>
      </c>
      <c r="FS236" s="26" t="s">
        <v>40</v>
      </c>
      <c r="FU236" s="26" t="s">
        <v>40</v>
      </c>
      <c r="FW236" s="26" t="s">
        <v>40</v>
      </c>
      <c r="FY236" s="26" t="s">
        <v>40</v>
      </c>
      <c r="GA236" s="26" t="s">
        <v>40</v>
      </c>
      <c r="GC236" s="26" t="s">
        <v>40</v>
      </c>
      <c r="GE236" s="26" t="s">
        <v>40</v>
      </c>
      <c r="GG236" s="26" t="s">
        <v>40</v>
      </c>
      <c r="GI236" s="26" t="s">
        <v>40</v>
      </c>
      <c r="GK236" s="26" t="s">
        <v>40</v>
      </c>
      <c r="GM236" s="26" t="s">
        <v>40</v>
      </c>
      <c r="GO236" s="26" t="s">
        <v>40</v>
      </c>
      <c r="GQ236" s="26" t="s">
        <v>40</v>
      </c>
      <c r="GS236" s="26" t="s">
        <v>40</v>
      </c>
      <c r="GU236" s="26" t="s">
        <v>40</v>
      </c>
      <c r="GW236" s="26" t="s">
        <v>40</v>
      </c>
      <c r="GY236" s="26" t="s">
        <v>40</v>
      </c>
      <c r="HA236" s="26" t="s">
        <v>40</v>
      </c>
      <c r="HC236" s="26" t="s">
        <v>40</v>
      </c>
    </row>
    <row r="237" spans="143:211" x14ac:dyDescent="0.2">
      <c r="EU237" s="10" t="s">
        <v>40</v>
      </c>
      <c r="EW237" s="10" t="s">
        <v>40</v>
      </c>
      <c r="EY237" s="10" t="s">
        <v>40</v>
      </c>
      <c r="FA237" s="10" t="s">
        <v>40</v>
      </c>
      <c r="FC237" s="10" t="s">
        <v>40</v>
      </c>
      <c r="FE237" s="10" t="s">
        <v>40</v>
      </c>
      <c r="FG237" s="10" t="s">
        <v>40</v>
      </c>
      <c r="FI237" s="10" t="s">
        <v>40</v>
      </c>
      <c r="FK237" s="10" t="s">
        <v>40</v>
      </c>
      <c r="FM237" s="10" t="s">
        <v>40</v>
      </c>
      <c r="FO237" s="10" t="s">
        <v>40</v>
      </c>
      <c r="FQ237" s="10" t="s">
        <v>40</v>
      </c>
      <c r="FS237" s="10" t="s">
        <v>40</v>
      </c>
      <c r="FU237" s="10" t="s">
        <v>40</v>
      </c>
      <c r="FW237" s="10" t="s">
        <v>40</v>
      </c>
      <c r="FY237" s="10" t="s">
        <v>40</v>
      </c>
      <c r="GA237" s="10" t="s">
        <v>40</v>
      </c>
      <c r="GC237" s="10" t="s">
        <v>40</v>
      </c>
      <c r="GE237" s="10" t="s">
        <v>40</v>
      </c>
      <c r="GG237" s="10" t="s">
        <v>40</v>
      </c>
      <c r="GI237" s="10" t="s">
        <v>40</v>
      </c>
      <c r="GK237" s="10" t="s">
        <v>40</v>
      </c>
      <c r="GM237" s="10" t="s">
        <v>40</v>
      </c>
      <c r="GO237" s="10" t="s">
        <v>40</v>
      </c>
      <c r="GQ237" s="10" t="s">
        <v>40</v>
      </c>
      <c r="GS237" s="10" t="s">
        <v>40</v>
      </c>
      <c r="GU237" s="10" t="s">
        <v>40</v>
      </c>
      <c r="GW237" s="10" t="s">
        <v>40</v>
      </c>
      <c r="GY237" s="10" t="s">
        <v>40</v>
      </c>
      <c r="HA237" s="10" t="s">
        <v>40</v>
      </c>
      <c r="HC237" s="10" t="s">
        <v>40</v>
      </c>
    </row>
    <row r="239" spans="143:211" x14ac:dyDescent="0.2">
      <c r="EW239" s="26" t="s">
        <v>40</v>
      </c>
      <c r="EY239" s="26" t="s">
        <v>40</v>
      </c>
      <c r="FA239" s="26" t="s">
        <v>40</v>
      </c>
      <c r="FC239" s="26" t="s">
        <v>40</v>
      </c>
      <c r="FE239" s="26" t="s">
        <v>40</v>
      </c>
      <c r="FG239" s="26" t="s">
        <v>40</v>
      </c>
      <c r="FI239" s="26" t="s">
        <v>40</v>
      </c>
      <c r="FK239" s="26" t="s">
        <v>40</v>
      </c>
      <c r="FM239" s="26" t="s">
        <v>40</v>
      </c>
      <c r="FO239" s="26" t="s">
        <v>40</v>
      </c>
      <c r="FQ239" s="26" t="s">
        <v>40</v>
      </c>
      <c r="FS239" s="26" t="s">
        <v>40</v>
      </c>
      <c r="FU239" s="26" t="s">
        <v>40</v>
      </c>
      <c r="FW239" s="26" t="s">
        <v>40</v>
      </c>
      <c r="FY239" s="26" t="s">
        <v>40</v>
      </c>
      <c r="GA239" s="26" t="s">
        <v>40</v>
      </c>
      <c r="GC239" s="26" t="s">
        <v>40</v>
      </c>
      <c r="GE239" s="26" t="s">
        <v>40</v>
      </c>
      <c r="GG239" s="26" t="s">
        <v>40</v>
      </c>
      <c r="GI239" s="26" t="s">
        <v>40</v>
      </c>
      <c r="GK239" s="26" t="s">
        <v>40</v>
      </c>
      <c r="GM239" s="26" t="s">
        <v>40</v>
      </c>
      <c r="GO239" s="26" t="s">
        <v>40</v>
      </c>
      <c r="GQ239" s="26" t="s">
        <v>40</v>
      </c>
      <c r="GS239" s="26" t="s">
        <v>40</v>
      </c>
      <c r="GU239" s="26" t="s">
        <v>40</v>
      </c>
      <c r="GW239" s="26" t="s">
        <v>40</v>
      </c>
      <c r="GY239" s="26" t="s">
        <v>40</v>
      </c>
      <c r="HA239" s="26" t="s">
        <v>40</v>
      </c>
      <c r="HC239" s="26" t="s">
        <v>40</v>
      </c>
    </row>
    <row r="240" spans="143:211" x14ac:dyDescent="0.2">
      <c r="EW240" s="10" t="s">
        <v>40</v>
      </c>
      <c r="EY240" s="10" t="s">
        <v>40</v>
      </c>
      <c r="FA240" s="10" t="s">
        <v>40</v>
      </c>
      <c r="FC240" s="10" t="s">
        <v>40</v>
      </c>
      <c r="FE240" s="10" t="s">
        <v>40</v>
      </c>
      <c r="FG240" s="10" t="s">
        <v>40</v>
      </c>
      <c r="FI240" s="10" t="s">
        <v>40</v>
      </c>
      <c r="FK240" s="10" t="s">
        <v>40</v>
      </c>
      <c r="FM240" s="10" t="s">
        <v>40</v>
      </c>
      <c r="FO240" s="10" t="s">
        <v>40</v>
      </c>
      <c r="FQ240" s="10" t="s">
        <v>40</v>
      </c>
      <c r="FS240" s="10" t="s">
        <v>40</v>
      </c>
      <c r="FU240" s="10" t="s">
        <v>40</v>
      </c>
      <c r="FW240" s="10" t="s">
        <v>40</v>
      </c>
      <c r="FY240" s="10" t="s">
        <v>40</v>
      </c>
      <c r="GA240" s="10" t="s">
        <v>40</v>
      </c>
      <c r="GC240" s="10" t="s">
        <v>40</v>
      </c>
      <c r="GE240" s="10" t="s">
        <v>40</v>
      </c>
      <c r="GG240" s="10" t="s">
        <v>40</v>
      </c>
      <c r="GI240" s="10" t="s">
        <v>40</v>
      </c>
      <c r="GK240" s="10" t="s">
        <v>40</v>
      </c>
      <c r="GM240" s="10" t="s">
        <v>40</v>
      </c>
      <c r="GO240" s="10" t="s">
        <v>40</v>
      </c>
      <c r="GQ240" s="10" t="s">
        <v>40</v>
      </c>
      <c r="GS240" s="10" t="s">
        <v>40</v>
      </c>
      <c r="GU240" s="10" t="s">
        <v>40</v>
      </c>
      <c r="GW240" s="10" t="s">
        <v>40</v>
      </c>
      <c r="GY240" s="10" t="s">
        <v>40</v>
      </c>
      <c r="HA240" s="10" t="s">
        <v>40</v>
      </c>
      <c r="HC240" s="10" t="s">
        <v>40</v>
      </c>
    </row>
    <row r="242" spans="155:211" x14ac:dyDescent="0.2">
      <c r="EY242" s="26" t="s">
        <v>40</v>
      </c>
      <c r="FA242" s="26" t="s">
        <v>40</v>
      </c>
      <c r="FC242" s="26" t="s">
        <v>40</v>
      </c>
      <c r="FE242" s="26" t="s">
        <v>40</v>
      </c>
      <c r="FG242" s="26" t="s">
        <v>40</v>
      </c>
      <c r="FI242" s="26" t="s">
        <v>40</v>
      </c>
      <c r="FK242" s="26" t="s">
        <v>40</v>
      </c>
      <c r="FM242" s="26" t="s">
        <v>40</v>
      </c>
      <c r="FO242" s="26" t="s">
        <v>40</v>
      </c>
      <c r="FQ242" s="26" t="s">
        <v>40</v>
      </c>
      <c r="FS242" s="26" t="s">
        <v>40</v>
      </c>
      <c r="FU242" s="26" t="s">
        <v>40</v>
      </c>
      <c r="FW242" s="26" t="s">
        <v>40</v>
      </c>
      <c r="FY242" s="26" t="s">
        <v>40</v>
      </c>
      <c r="GA242" s="26" t="s">
        <v>40</v>
      </c>
      <c r="GC242" s="26" t="s">
        <v>40</v>
      </c>
      <c r="GE242" s="26" t="s">
        <v>40</v>
      </c>
      <c r="GG242" s="26" t="s">
        <v>40</v>
      </c>
      <c r="GI242" s="26" t="s">
        <v>40</v>
      </c>
      <c r="GK242" s="26" t="s">
        <v>40</v>
      </c>
      <c r="GM242" s="26" t="s">
        <v>40</v>
      </c>
      <c r="GO242" s="26" t="s">
        <v>40</v>
      </c>
      <c r="GQ242" s="26" t="s">
        <v>40</v>
      </c>
      <c r="GS242" s="26" t="s">
        <v>40</v>
      </c>
      <c r="GU242" s="26" t="s">
        <v>40</v>
      </c>
      <c r="GW242" s="26" t="s">
        <v>40</v>
      </c>
      <c r="GY242" s="26" t="s">
        <v>40</v>
      </c>
      <c r="HA242" s="26" t="s">
        <v>40</v>
      </c>
      <c r="HC242" s="26" t="s">
        <v>40</v>
      </c>
    </row>
    <row r="243" spans="155:211" x14ac:dyDescent="0.2">
      <c r="EY243" s="10" t="s">
        <v>40</v>
      </c>
      <c r="FA243" s="10" t="s">
        <v>40</v>
      </c>
      <c r="FC243" s="10" t="s">
        <v>40</v>
      </c>
      <c r="FE243" s="10" t="s">
        <v>40</v>
      </c>
      <c r="FG243" s="10" t="s">
        <v>40</v>
      </c>
      <c r="FI243" s="10" t="s">
        <v>40</v>
      </c>
      <c r="FK243" s="10" t="s">
        <v>40</v>
      </c>
      <c r="FM243" s="10" t="s">
        <v>40</v>
      </c>
      <c r="FO243" s="10" t="s">
        <v>40</v>
      </c>
      <c r="FQ243" s="10" t="s">
        <v>40</v>
      </c>
      <c r="FS243" s="10" t="s">
        <v>40</v>
      </c>
      <c r="FU243" s="10" t="s">
        <v>40</v>
      </c>
      <c r="FW243" s="10" t="s">
        <v>40</v>
      </c>
      <c r="FY243" s="10" t="s">
        <v>40</v>
      </c>
      <c r="GA243" s="10" t="s">
        <v>40</v>
      </c>
      <c r="GC243" s="10" t="s">
        <v>40</v>
      </c>
      <c r="GE243" s="10" t="s">
        <v>40</v>
      </c>
      <c r="GG243" s="10" t="s">
        <v>40</v>
      </c>
      <c r="GI243" s="10" t="s">
        <v>40</v>
      </c>
      <c r="GK243" s="10" t="s">
        <v>40</v>
      </c>
      <c r="GM243" s="10" t="s">
        <v>40</v>
      </c>
      <c r="GO243" s="10" t="s">
        <v>40</v>
      </c>
      <c r="GQ243" s="10" t="s">
        <v>40</v>
      </c>
      <c r="GS243" s="10" t="s">
        <v>40</v>
      </c>
      <c r="GU243" s="10" t="s">
        <v>40</v>
      </c>
      <c r="GW243" s="10" t="s">
        <v>40</v>
      </c>
      <c r="GY243" s="10" t="s">
        <v>40</v>
      </c>
      <c r="HA243" s="10" t="s">
        <v>40</v>
      </c>
      <c r="HC243" s="10" t="s">
        <v>40</v>
      </c>
    </row>
    <row r="245" spans="155:211" x14ac:dyDescent="0.2">
      <c r="FA245" s="26" t="s">
        <v>40</v>
      </c>
      <c r="FC245" s="26" t="s">
        <v>40</v>
      </c>
      <c r="FE245" s="26" t="s">
        <v>40</v>
      </c>
      <c r="FG245" s="26" t="s">
        <v>40</v>
      </c>
      <c r="FI245" s="26" t="s">
        <v>40</v>
      </c>
      <c r="FK245" s="26" t="s">
        <v>40</v>
      </c>
      <c r="FM245" s="26" t="s">
        <v>40</v>
      </c>
      <c r="FO245" s="26" t="s">
        <v>40</v>
      </c>
      <c r="FQ245" s="26" t="s">
        <v>40</v>
      </c>
      <c r="FS245" s="26" t="s">
        <v>40</v>
      </c>
      <c r="FU245" s="26" t="s">
        <v>40</v>
      </c>
      <c r="FW245" s="26" t="s">
        <v>40</v>
      </c>
      <c r="FY245" s="26" t="s">
        <v>40</v>
      </c>
      <c r="GA245" s="26" t="s">
        <v>40</v>
      </c>
      <c r="GC245" s="26" t="s">
        <v>40</v>
      </c>
      <c r="GE245" s="26" t="s">
        <v>40</v>
      </c>
      <c r="GG245" s="26" t="s">
        <v>40</v>
      </c>
      <c r="GI245" s="26" t="s">
        <v>40</v>
      </c>
      <c r="GK245" s="26" t="s">
        <v>40</v>
      </c>
      <c r="GM245" s="26" t="s">
        <v>40</v>
      </c>
      <c r="GO245" s="26" t="s">
        <v>40</v>
      </c>
      <c r="GQ245" s="26" t="s">
        <v>40</v>
      </c>
      <c r="GS245" s="26" t="s">
        <v>40</v>
      </c>
      <c r="GU245" s="26" t="s">
        <v>40</v>
      </c>
      <c r="GW245" s="26" t="s">
        <v>40</v>
      </c>
      <c r="GY245" s="26" t="s">
        <v>40</v>
      </c>
      <c r="HA245" s="26" t="s">
        <v>40</v>
      </c>
      <c r="HC245" s="26" t="s">
        <v>40</v>
      </c>
    </row>
    <row r="246" spans="155:211" x14ac:dyDescent="0.2">
      <c r="FA246" s="10" t="s">
        <v>40</v>
      </c>
      <c r="FC246" s="10" t="s">
        <v>40</v>
      </c>
      <c r="FE246" s="10" t="s">
        <v>40</v>
      </c>
      <c r="FG246" s="10" t="s">
        <v>40</v>
      </c>
      <c r="FI246" s="10" t="s">
        <v>40</v>
      </c>
      <c r="FK246" s="10" t="s">
        <v>40</v>
      </c>
      <c r="FM246" s="10" t="s">
        <v>40</v>
      </c>
      <c r="FO246" s="10" t="s">
        <v>40</v>
      </c>
      <c r="FQ246" s="10" t="s">
        <v>40</v>
      </c>
      <c r="FS246" s="10" t="s">
        <v>40</v>
      </c>
      <c r="FU246" s="10" t="s">
        <v>40</v>
      </c>
      <c r="FW246" s="10" t="s">
        <v>40</v>
      </c>
      <c r="FY246" s="10" t="s">
        <v>40</v>
      </c>
      <c r="GA246" s="10" t="s">
        <v>40</v>
      </c>
      <c r="GC246" s="10" t="s">
        <v>40</v>
      </c>
      <c r="GE246" s="10" t="s">
        <v>40</v>
      </c>
      <c r="GG246" s="10" t="s">
        <v>40</v>
      </c>
      <c r="GI246" s="10" t="s">
        <v>40</v>
      </c>
      <c r="GK246" s="10" t="s">
        <v>40</v>
      </c>
      <c r="GM246" s="10" t="s">
        <v>40</v>
      </c>
      <c r="GO246" s="10" t="s">
        <v>40</v>
      </c>
      <c r="GQ246" s="10" t="s">
        <v>40</v>
      </c>
      <c r="GS246" s="10" t="s">
        <v>40</v>
      </c>
      <c r="GU246" s="10" t="s">
        <v>40</v>
      </c>
      <c r="GW246" s="10" t="s">
        <v>40</v>
      </c>
      <c r="GY246" s="10" t="s">
        <v>40</v>
      </c>
      <c r="HA246" s="10" t="s">
        <v>40</v>
      </c>
      <c r="HC246" s="10" t="s">
        <v>40</v>
      </c>
    </row>
    <row r="248" spans="155:211" x14ac:dyDescent="0.2">
      <c r="FC248" s="26" t="s">
        <v>40</v>
      </c>
      <c r="FE248" s="26" t="s">
        <v>40</v>
      </c>
      <c r="FG248" s="26" t="s">
        <v>40</v>
      </c>
      <c r="FI248" s="26" t="s">
        <v>40</v>
      </c>
      <c r="FK248" s="26" t="s">
        <v>40</v>
      </c>
      <c r="FM248" s="26" t="s">
        <v>40</v>
      </c>
      <c r="FO248" s="26" t="s">
        <v>40</v>
      </c>
      <c r="FQ248" s="26" t="s">
        <v>40</v>
      </c>
      <c r="FS248" s="26" t="s">
        <v>40</v>
      </c>
      <c r="FU248" s="26" t="s">
        <v>40</v>
      </c>
      <c r="FW248" s="26" t="s">
        <v>40</v>
      </c>
      <c r="FY248" s="26" t="s">
        <v>40</v>
      </c>
      <c r="GA248" s="26" t="s">
        <v>40</v>
      </c>
      <c r="GC248" s="26" t="s">
        <v>40</v>
      </c>
      <c r="GE248" s="26" t="s">
        <v>40</v>
      </c>
      <c r="GG248" s="26" t="s">
        <v>40</v>
      </c>
      <c r="GI248" s="26" t="s">
        <v>40</v>
      </c>
      <c r="GK248" s="26" t="s">
        <v>40</v>
      </c>
      <c r="GM248" s="26" t="s">
        <v>40</v>
      </c>
      <c r="GO248" s="26" t="s">
        <v>40</v>
      </c>
      <c r="GQ248" s="26" t="s">
        <v>40</v>
      </c>
      <c r="GS248" s="26" t="s">
        <v>40</v>
      </c>
      <c r="GU248" s="26" t="s">
        <v>40</v>
      </c>
      <c r="GW248" s="26" t="s">
        <v>40</v>
      </c>
      <c r="GY248" s="26" t="s">
        <v>40</v>
      </c>
      <c r="HA248" s="26" t="s">
        <v>40</v>
      </c>
      <c r="HC248" s="26" t="s">
        <v>40</v>
      </c>
    </row>
    <row r="249" spans="155:211" x14ac:dyDescent="0.2">
      <c r="FC249" s="10" t="s">
        <v>40</v>
      </c>
      <c r="FE249" s="10" t="s">
        <v>40</v>
      </c>
      <c r="FG249" s="10" t="s">
        <v>40</v>
      </c>
      <c r="FI249" s="10" t="s">
        <v>40</v>
      </c>
      <c r="FK249" s="10" t="s">
        <v>40</v>
      </c>
      <c r="FM249" s="10" t="s">
        <v>40</v>
      </c>
      <c r="FO249" s="10" t="s">
        <v>40</v>
      </c>
      <c r="FQ249" s="10" t="s">
        <v>40</v>
      </c>
      <c r="FS249" s="10" t="s">
        <v>40</v>
      </c>
      <c r="FU249" s="10" t="s">
        <v>40</v>
      </c>
      <c r="FW249" s="10" t="s">
        <v>40</v>
      </c>
      <c r="FY249" s="10" t="s">
        <v>40</v>
      </c>
      <c r="GA249" s="10" t="s">
        <v>40</v>
      </c>
      <c r="GC249" s="10" t="s">
        <v>40</v>
      </c>
      <c r="GE249" s="10" t="s">
        <v>40</v>
      </c>
      <c r="GG249" s="10" t="s">
        <v>40</v>
      </c>
      <c r="GI249" s="10" t="s">
        <v>40</v>
      </c>
      <c r="GK249" s="10" t="s">
        <v>40</v>
      </c>
      <c r="GM249" s="10" t="s">
        <v>40</v>
      </c>
      <c r="GO249" s="10" t="s">
        <v>40</v>
      </c>
      <c r="GQ249" s="10" t="s">
        <v>40</v>
      </c>
      <c r="GS249" s="10" t="s">
        <v>40</v>
      </c>
      <c r="GU249" s="10" t="s">
        <v>40</v>
      </c>
      <c r="GW249" s="10" t="s">
        <v>40</v>
      </c>
      <c r="GY249" s="10" t="s">
        <v>40</v>
      </c>
      <c r="HA249" s="10" t="s">
        <v>40</v>
      </c>
      <c r="HC249" s="10" t="s">
        <v>40</v>
      </c>
    </row>
    <row r="251" spans="155:211" x14ac:dyDescent="0.2">
      <c r="FE251" s="26" t="s">
        <v>40</v>
      </c>
      <c r="FG251" s="26" t="s">
        <v>40</v>
      </c>
      <c r="FI251" s="26" t="s">
        <v>40</v>
      </c>
      <c r="FK251" s="26" t="s">
        <v>40</v>
      </c>
      <c r="FM251" s="26" t="s">
        <v>40</v>
      </c>
      <c r="FO251" s="26" t="s">
        <v>40</v>
      </c>
      <c r="FQ251" s="26" t="s">
        <v>40</v>
      </c>
      <c r="FS251" s="26" t="s">
        <v>40</v>
      </c>
      <c r="FU251" s="26" t="s">
        <v>40</v>
      </c>
      <c r="FW251" s="26" t="s">
        <v>40</v>
      </c>
      <c r="FY251" s="26" t="s">
        <v>40</v>
      </c>
      <c r="GA251" s="26" t="s">
        <v>40</v>
      </c>
      <c r="GC251" s="26" t="s">
        <v>40</v>
      </c>
      <c r="GE251" s="26" t="s">
        <v>40</v>
      </c>
      <c r="GG251" s="26" t="s">
        <v>40</v>
      </c>
      <c r="GI251" s="26" t="s">
        <v>40</v>
      </c>
      <c r="GK251" s="26" t="s">
        <v>40</v>
      </c>
      <c r="GM251" s="26" t="s">
        <v>40</v>
      </c>
      <c r="GO251" s="26" t="s">
        <v>40</v>
      </c>
      <c r="GQ251" s="26" t="s">
        <v>40</v>
      </c>
      <c r="GS251" s="26" t="s">
        <v>40</v>
      </c>
      <c r="GU251" s="26" t="s">
        <v>40</v>
      </c>
      <c r="GW251" s="26" t="s">
        <v>40</v>
      </c>
      <c r="GY251" s="26" t="s">
        <v>40</v>
      </c>
      <c r="HA251" s="26" t="s">
        <v>40</v>
      </c>
      <c r="HC251" s="26" t="s">
        <v>40</v>
      </c>
    </row>
    <row r="252" spans="155:211" x14ac:dyDescent="0.2">
      <c r="FE252" s="10" t="s">
        <v>40</v>
      </c>
      <c r="FG252" s="10" t="s">
        <v>40</v>
      </c>
      <c r="FI252" s="10" t="s">
        <v>40</v>
      </c>
      <c r="FK252" s="10" t="s">
        <v>40</v>
      </c>
      <c r="FM252" s="10" t="s">
        <v>40</v>
      </c>
      <c r="FO252" s="10" t="s">
        <v>40</v>
      </c>
      <c r="FQ252" s="10" t="s">
        <v>40</v>
      </c>
      <c r="FS252" s="10" t="s">
        <v>40</v>
      </c>
      <c r="FU252" s="10" t="s">
        <v>40</v>
      </c>
      <c r="FW252" s="10" t="s">
        <v>40</v>
      </c>
      <c r="FY252" s="10" t="s">
        <v>40</v>
      </c>
      <c r="GA252" s="10" t="s">
        <v>40</v>
      </c>
      <c r="GC252" s="10" t="s">
        <v>40</v>
      </c>
      <c r="GE252" s="10" t="s">
        <v>40</v>
      </c>
      <c r="GG252" s="10" t="s">
        <v>40</v>
      </c>
      <c r="GI252" s="10" t="s">
        <v>40</v>
      </c>
      <c r="GK252" s="10" t="s">
        <v>40</v>
      </c>
      <c r="GM252" s="10" t="s">
        <v>40</v>
      </c>
      <c r="GO252" s="10" t="s">
        <v>40</v>
      </c>
      <c r="GQ252" s="10" t="s">
        <v>40</v>
      </c>
      <c r="GS252" s="10" t="s">
        <v>40</v>
      </c>
      <c r="GU252" s="10" t="s">
        <v>40</v>
      </c>
      <c r="GW252" s="10" t="s">
        <v>40</v>
      </c>
      <c r="GY252" s="10" t="s">
        <v>40</v>
      </c>
      <c r="HA252" s="10" t="s">
        <v>40</v>
      </c>
      <c r="HC252" s="10" t="s">
        <v>40</v>
      </c>
    </row>
    <row r="254" spans="155:211" x14ac:dyDescent="0.2">
      <c r="FG254" s="26" t="s">
        <v>40</v>
      </c>
      <c r="FI254" s="26" t="s">
        <v>40</v>
      </c>
      <c r="FK254" s="26" t="s">
        <v>40</v>
      </c>
      <c r="FM254" s="26" t="s">
        <v>40</v>
      </c>
      <c r="FO254" s="26" t="s">
        <v>40</v>
      </c>
      <c r="FQ254" s="26" t="s">
        <v>40</v>
      </c>
      <c r="FS254" s="26" t="s">
        <v>40</v>
      </c>
      <c r="FU254" s="26" t="s">
        <v>40</v>
      </c>
      <c r="FW254" s="26" t="s">
        <v>40</v>
      </c>
      <c r="FY254" s="26" t="s">
        <v>40</v>
      </c>
      <c r="GA254" s="26" t="s">
        <v>40</v>
      </c>
      <c r="GC254" s="26" t="s">
        <v>40</v>
      </c>
      <c r="GE254" s="26" t="s">
        <v>40</v>
      </c>
      <c r="GG254" s="26" t="s">
        <v>40</v>
      </c>
      <c r="GI254" s="26" t="s">
        <v>40</v>
      </c>
      <c r="GK254" s="26" t="s">
        <v>40</v>
      </c>
      <c r="GM254" s="26" t="s">
        <v>40</v>
      </c>
      <c r="GO254" s="26" t="s">
        <v>40</v>
      </c>
      <c r="GQ254" s="26" t="s">
        <v>40</v>
      </c>
      <c r="GS254" s="26" t="s">
        <v>40</v>
      </c>
      <c r="GU254" s="26" t="s">
        <v>40</v>
      </c>
      <c r="GW254" s="26" t="s">
        <v>40</v>
      </c>
      <c r="GY254" s="26" t="s">
        <v>40</v>
      </c>
      <c r="HA254" s="26" t="s">
        <v>40</v>
      </c>
      <c r="HC254" s="26" t="s">
        <v>40</v>
      </c>
    </row>
    <row r="255" spans="155:211" x14ac:dyDescent="0.2">
      <c r="FG255" s="10" t="s">
        <v>40</v>
      </c>
      <c r="FI255" s="10" t="s">
        <v>40</v>
      </c>
      <c r="FK255" s="10" t="s">
        <v>40</v>
      </c>
      <c r="FM255" s="10" t="s">
        <v>40</v>
      </c>
      <c r="FO255" s="10" t="s">
        <v>40</v>
      </c>
      <c r="FQ255" s="10" t="s">
        <v>40</v>
      </c>
      <c r="FS255" s="10" t="s">
        <v>40</v>
      </c>
      <c r="FU255" s="10" t="s">
        <v>40</v>
      </c>
      <c r="FW255" s="10" t="s">
        <v>40</v>
      </c>
      <c r="FY255" s="10" t="s">
        <v>40</v>
      </c>
      <c r="GA255" s="10" t="s">
        <v>40</v>
      </c>
      <c r="GC255" s="10" t="s">
        <v>40</v>
      </c>
      <c r="GE255" s="10" t="s">
        <v>40</v>
      </c>
      <c r="GG255" s="10" t="s">
        <v>40</v>
      </c>
      <c r="GI255" s="10" t="s">
        <v>40</v>
      </c>
      <c r="GK255" s="10" t="s">
        <v>40</v>
      </c>
      <c r="GM255" s="10" t="s">
        <v>40</v>
      </c>
      <c r="GO255" s="10" t="s">
        <v>40</v>
      </c>
      <c r="GQ255" s="10" t="s">
        <v>40</v>
      </c>
      <c r="GS255" s="10" t="s">
        <v>40</v>
      </c>
      <c r="GU255" s="10" t="s">
        <v>40</v>
      </c>
      <c r="GW255" s="10" t="s">
        <v>40</v>
      </c>
      <c r="GY255" s="10" t="s">
        <v>40</v>
      </c>
      <c r="HA255" s="10" t="s">
        <v>40</v>
      </c>
      <c r="HC255" s="10" t="s">
        <v>40</v>
      </c>
    </row>
    <row r="257" spans="165:211" x14ac:dyDescent="0.2">
      <c r="FI257" s="26" t="s">
        <v>40</v>
      </c>
      <c r="FK257" s="26" t="s">
        <v>40</v>
      </c>
      <c r="FM257" s="26" t="s">
        <v>40</v>
      </c>
      <c r="FO257" s="26" t="s">
        <v>40</v>
      </c>
      <c r="FQ257" s="26" t="s">
        <v>40</v>
      </c>
      <c r="FS257" s="26" t="s">
        <v>40</v>
      </c>
      <c r="FU257" s="26" t="s">
        <v>40</v>
      </c>
      <c r="FW257" s="26" t="s">
        <v>40</v>
      </c>
      <c r="FY257" s="26" t="s">
        <v>40</v>
      </c>
      <c r="GA257" s="26" t="s">
        <v>40</v>
      </c>
      <c r="GC257" s="26" t="s">
        <v>40</v>
      </c>
      <c r="GE257" s="26" t="s">
        <v>40</v>
      </c>
      <c r="GG257" s="26" t="s">
        <v>40</v>
      </c>
      <c r="GI257" s="26" t="s">
        <v>40</v>
      </c>
      <c r="GK257" s="26" t="s">
        <v>40</v>
      </c>
      <c r="GM257" s="26" t="s">
        <v>40</v>
      </c>
      <c r="GO257" s="26" t="s">
        <v>40</v>
      </c>
      <c r="GQ257" s="26" t="s">
        <v>40</v>
      </c>
      <c r="GS257" s="26" t="s">
        <v>40</v>
      </c>
      <c r="GU257" s="26" t="s">
        <v>40</v>
      </c>
      <c r="GW257" s="26" t="s">
        <v>40</v>
      </c>
      <c r="GY257" s="26" t="s">
        <v>40</v>
      </c>
      <c r="HA257" s="26" t="s">
        <v>40</v>
      </c>
      <c r="HC257" s="26" t="s">
        <v>40</v>
      </c>
    </row>
    <row r="258" spans="165:211" x14ac:dyDescent="0.2">
      <c r="FI258" s="10" t="s">
        <v>40</v>
      </c>
      <c r="FK258" s="10" t="s">
        <v>40</v>
      </c>
      <c r="FM258" s="10" t="s">
        <v>40</v>
      </c>
      <c r="FO258" s="10" t="s">
        <v>40</v>
      </c>
      <c r="FQ258" s="10" t="s">
        <v>40</v>
      </c>
      <c r="FS258" s="10" t="s">
        <v>40</v>
      </c>
      <c r="FU258" s="10" t="s">
        <v>40</v>
      </c>
      <c r="FW258" s="10" t="s">
        <v>40</v>
      </c>
      <c r="FY258" s="10" t="s">
        <v>40</v>
      </c>
      <c r="GA258" s="10" t="s">
        <v>40</v>
      </c>
      <c r="GC258" s="10" t="s">
        <v>40</v>
      </c>
      <c r="GE258" s="10" t="s">
        <v>40</v>
      </c>
      <c r="GG258" s="10" t="s">
        <v>40</v>
      </c>
      <c r="GI258" s="10" t="s">
        <v>40</v>
      </c>
      <c r="GK258" s="10" t="s">
        <v>40</v>
      </c>
      <c r="GM258" s="10" t="s">
        <v>40</v>
      </c>
      <c r="GO258" s="10" t="s">
        <v>40</v>
      </c>
      <c r="GQ258" s="10" t="s">
        <v>40</v>
      </c>
      <c r="GS258" s="10" t="s">
        <v>40</v>
      </c>
      <c r="GU258" s="10" t="s">
        <v>40</v>
      </c>
      <c r="GW258" s="10" t="s">
        <v>40</v>
      </c>
      <c r="GY258" s="10" t="s">
        <v>40</v>
      </c>
      <c r="HA258" s="10" t="s">
        <v>40</v>
      </c>
      <c r="HC258" s="10" t="s">
        <v>40</v>
      </c>
    </row>
    <row r="260" spans="165:211" x14ac:dyDescent="0.2">
      <c r="FK260" s="26" t="s">
        <v>40</v>
      </c>
      <c r="FM260" s="26" t="s">
        <v>40</v>
      </c>
      <c r="FO260" s="26" t="s">
        <v>40</v>
      </c>
      <c r="FQ260" s="26" t="s">
        <v>40</v>
      </c>
      <c r="FS260" s="26" t="s">
        <v>40</v>
      </c>
      <c r="FU260" s="26" t="s">
        <v>40</v>
      </c>
      <c r="FW260" s="26" t="s">
        <v>40</v>
      </c>
      <c r="FY260" s="26" t="s">
        <v>40</v>
      </c>
      <c r="GA260" s="26" t="s">
        <v>40</v>
      </c>
      <c r="GC260" s="26" t="s">
        <v>40</v>
      </c>
      <c r="GE260" s="26" t="s">
        <v>40</v>
      </c>
      <c r="GG260" s="26" t="s">
        <v>40</v>
      </c>
      <c r="GI260" s="26" t="s">
        <v>40</v>
      </c>
      <c r="GK260" s="26" t="s">
        <v>40</v>
      </c>
      <c r="GM260" s="26" t="s">
        <v>40</v>
      </c>
      <c r="GO260" s="26" t="s">
        <v>40</v>
      </c>
      <c r="GQ260" s="26" t="s">
        <v>40</v>
      </c>
      <c r="GS260" s="26" t="s">
        <v>40</v>
      </c>
      <c r="GU260" s="26" t="s">
        <v>40</v>
      </c>
      <c r="GW260" s="26" t="s">
        <v>40</v>
      </c>
      <c r="GY260" s="26" t="s">
        <v>40</v>
      </c>
      <c r="HA260" s="26" t="s">
        <v>40</v>
      </c>
      <c r="HC260" s="26" t="s">
        <v>40</v>
      </c>
    </row>
    <row r="261" spans="165:211" x14ac:dyDescent="0.2">
      <c r="FK261" s="10" t="s">
        <v>40</v>
      </c>
      <c r="FM261" s="10" t="s">
        <v>40</v>
      </c>
      <c r="FO261" s="10" t="s">
        <v>40</v>
      </c>
      <c r="FQ261" s="10" t="s">
        <v>40</v>
      </c>
      <c r="FS261" s="10" t="s">
        <v>40</v>
      </c>
      <c r="FU261" s="10" t="s">
        <v>40</v>
      </c>
      <c r="FW261" s="10" t="s">
        <v>40</v>
      </c>
      <c r="FY261" s="10" t="s">
        <v>40</v>
      </c>
      <c r="GA261" s="10" t="s">
        <v>40</v>
      </c>
      <c r="GC261" s="10" t="s">
        <v>40</v>
      </c>
      <c r="GE261" s="10" t="s">
        <v>40</v>
      </c>
      <c r="GG261" s="10" t="s">
        <v>40</v>
      </c>
      <c r="GI261" s="10" t="s">
        <v>40</v>
      </c>
      <c r="GK261" s="10" t="s">
        <v>40</v>
      </c>
      <c r="GM261" s="10" t="s">
        <v>40</v>
      </c>
      <c r="GO261" s="10" t="s">
        <v>40</v>
      </c>
      <c r="GQ261" s="10" t="s">
        <v>40</v>
      </c>
      <c r="GS261" s="10" t="s">
        <v>40</v>
      </c>
      <c r="GU261" s="10" t="s">
        <v>40</v>
      </c>
      <c r="GW261" s="10" t="s">
        <v>40</v>
      </c>
      <c r="GY261" s="10" t="s">
        <v>40</v>
      </c>
      <c r="HA261" s="10" t="s">
        <v>40</v>
      </c>
      <c r="HC261" s="10" t="s">
        <v>40</v>
      </c>
    </row>
    <row r="263" spans="165:211" x14ac:dyDescent="0.2">
      <c r="FM263" s="26" t="s">
        <v>40</v>
      </c>
      <c r="FO263" s="26" t="s">
        <v>40</v>
      </c>
      <c r="FQ263" s="26" t="s">
        <v>40</v>
      </c>
      <c r="FS263" s="26" t="s">
        <v>40</v>
      </c>
      <c r="FU263" s="26" t="s">
        <v>40</v>
      </c>
      <c r="FW263" s="26" t="s">
        <v>40</v>
      </c>
      <c r="FY263" s="26" t="s">
        <v>40</v>
      </c>
      <c r="GA263" s="26" t="s">
        <v>40</v>
      </c>
      <c r="GC263" s="26" t="s">
        <v>40</v>
      </c>
      <c r="GE263" s="26" t="s">
        <v>40</v>
      </c>
      <c r="GG263" s="26" t="s">
        <v>40</v>
      </c>
      <c r="GI263" s="26" t="s">
        <v>40</v>
      </c>
      <c r="GK263" s="26" t="s">
        <v>40</v>
      </c>
      <c r="GM263" s="26" t="s">
        <v>40</v>
      </c>
      <c r="GO263" s="26" t="s">
        <v>40</v>
      </c>
      <c r="GQ263" s="26" t="s">
        <v>40</v>
      </c>
      <c r="GS263" s="26" t="s">
        <v>40</v>
      </c>
      <c r="GU263" s="26" t="s">
        <v>40</v>
      </c>
      <c r="GW263" s="26" t="s">
        <v>40</v>
      </c>
      <c r="GY263" s="26" t="s">
        <v>40</v>
      </c>
      <c r="HA263" s="26" t="s">
        <v>40</v>
      </c>
      <c r="HC263" s="26" t="s">
        <v>40</v>
      </c>
    </row>
    <row r="264" spans="165:211" x14ac:dyDescent="0.2">
      <c r="FM264" s="10" t="s">
        <v>40</v>
      </c>
      <c r="FO264" s="10" t="s">
        <v>40</v>
      </c>
      <c r="FQ264" s="10" t="s">
        <v>40</v>
      </c>
      <c r="FS264" s="10" t="s">
        <v>40</v>
      </c>
      <c r="FU264" s="10" t="s">
        <v>40</v>
      </c>
      <c r="FW264" s="10" t="s">
        <v>40</v>
      </c>
      <c r="FY264" s="10" t="s">
        <v>40</v>
      </c>
      <c r="GA264" s="10" t="s">
        <v>40</v>
      </c>
      <c r="GC264" s="10" t="s">
        <v>40</v>
      </c>
      <c r="GE264" s="10" t="s">
        <v>40</v>
      </c>
      <c r="GG264" s="10" t="s">
        <v>40</v>
      </c>
      <c r="GI264" s="10" t="s">
        <v>40</v>
      </c>
      <c r="GK264" s="10" t="s">
        <v>40</v>
      </c>
      <c r="GM264" s="10" t="s">
        <v>40</v>
      </c>
      <c r="GO264" s="10" t="s">
        <v>40</v>
      </c>
      <c r="GQ264" s="10" t="s">
        <v>40</v>
      </c>
      <c r="GS264" s="10" t="s">
        <v>40</v>
      </c>
      <c r="GU264" s="10" t="s">
        <v>40</v>
      </c>
      <c r="GW264" s="10" t="s">
        <v>40</v>
      </c>
      <c r="GY264" s="10" t="s">
        <v>40</v>
      </c>
      <c r="HA264" s="10" t="s">
        <v>40</v>
      </c>
      <c r="HC264" s="10" t="s">
        <v>40</v>
      </c>
    </row>
    <row r="266" spans="165:211" x14ac:dyDescent="0.2">
      <c r="FO266" s="26" t="s">
        <v>40</v>
      </c>
      <c r="FQ266" s="26" t="s">
        <v>40</v>
      </c>
      <c r="FS266" s="26" t="s">
        <v>40</v>
      </c>
      <c r="FU266" s="26" t="s">
        <v>40</v>
      </c>
      <c r="FW266" s="26" t="s">
        <v>40</v>
      </c>
      <c r="FY266" s="26" t="s">
        <v>40</v>
      </c>
      <c r="GA266" s="26" t="s">
        <v>40</v>
      </c>
      <c r="GC266" s="26" t="s">
        <v>40</v>
      </c>
      <c r="GE266" s="26" t="s">
        <v>40</v>
      </c>
      <c r="GG266" s="26" t="s">
        <v>40</v>
      </c>
      <c r="GI266" s="26" t="s">
        <v>40</v>
      </c>
      <c r="GK266" s="26" t="s">
        <v>40</v>
      </c>
      <c r="GM266" s="26" t="s">
        <v>40</v>
      </c>
      <c r="GO266" s="26" t="s">
        <v>40</v>
      </c>
      <c r="GQ266" s="26" t="s">
        <v>40</v>
      </c>
      <c r="GS266" s="26" t="s">
        <v>40</v>
      </c>
      <c r="GU266" s="26" t="s">
        <v>40</v>
      </c>
      <c r="GW266" s="26" t="s">
        <v>40</v>
      </c>
      <c r="GY266" s="26" t="s">
        <v>40</v>
      </c>
      <c r="HA266" s="26" t="s">
        <v>40</v>
      </c>
      <c r="HC266" s="26" t="s">
        <v>40</v>
      </c>
    </row>
    <row r="267" spans="165:211" x14ac:dyDescent="0.2">
      <c r="FO267" s="10" t="s">
        <v>40</v>
      </c>
      <c r="FQ267" s="10" t="s">
        <v>40</v>
      </c>
      <c r="FS267" s="10" t="s">
        <v>40</v>
      </c>
      <c r="FU267" s="10" t="s">
        <v>40</v>
      </c>
      <c r="FW267" s="10" t="s">
        <v>40</v>
      </c>
      <c r="FY267" s="10" t="s">
        <v>40</v>
      </c>
      <c r="GA267" s="10" t="s">
        <v>40</v>
      </c>
      <c r="GC267" s="10" t="s">
        <v>40</v>
      </c>
      <c r="GE267" s="10" t="s">
        <v>40</v>
      </c>
      <c r="GG267" s="10" t="s">
        <v>40</v>
      </c>
      <c r="GI267" s="10" t="s">
        <v>40</v>
      </c>
      <c r="GK267" s="10" t="s">
        <v>40</v>
      </c>
      <c r="GM267" s="10" t="s">
        <v>40</v>
      </c>
      <c r="GO267" s="10" t="s">
        <v>40</v>
      </c>
      <c r="GQ267" s="10" t="s">
        <v>40</v>
      </c>
      <c r="GS267" s="10" t="s">
        <v>40</v>
      </c>
      <c r="GU267" s="10" t="s">
        <v>40</v>
      </c>
      <c r="GW267" s="10" t="s">
        <v>40</v>
      </c>
      <c r="GY267" s="10" t="s">
        <v>40</v>
      </c>
      <c r="HA267" s="10" t="s">
        <v>40</v>
      </c>
      <c r="HC267" s="10" t="s">
        <v>40</v>
      </c>
    </row>
    <row r="269" spans="165:211" x14ac:dyDescent="0.2">
      <c r="FQ269" s="26" t="s">
        <v>40</v>
      </c>
      <c r="FS269" s="26" t="s">
        <v>40</v>
      </c>
      <c r="FU269" s="26" t="s">
        <v>40</v>
      </c>
      <c r="FW269" s="26" t="s">
        <v>40</v>
      </c>
      <c r="FY269" s="26" t="s">
        <v>40</v>
      </c>
      <c r="GA269" s="26" t="s">
        <v>40</v>
      </c>
      <c r="GC269" s="26" t="s">
        <v>40</v>
      </c>
      <c r="GE269" s="26" t="s">
        <v>40</v>
      </c>
      <c r="GG269" s="26" t="s">
        <v>40</v>
      </c>
      <c r="GI269" s="26" t="s">
        <v>40</v>
      </c>
      <c r="GK269" s="26" t="s">
        <v>40</v>
      </c>
      <c r="GM269" s="26" t="s">
        <v>40</v>
      </c>
      <c r="GO269" s="26" t="s">
        <v>40</v>
      </c>
      <c r="GQ269" s="26" t="s">
        <v>40</v>
      </c>
      <c r="GS269" s="26" t="s">
        <v>40</v>
      </c>
      <c r="GU269" s="26" t="s">
        <v>40</v>
      </c>
      <c r="GW269" s="26" t="s">
        <v>40</v>
      </c>
      <c r="GY269" s="26" t="s">
        <v>40</v>
      </c>
      <c r="HA269" s="26" t="s">
        <v>40</v>
      </c>
      <c r="HC269" s="26" t="s">
        <v>40</v>
      </c>
    </row>
    <row r="270" spans="165:211" x14ac:dyDescent="0.2">
      <c r="FQ270" s="10" t="s">
        <v>40</v>
      </c>
      <c r="FS270" s="10" t="s">
        <v>40</v>
      </c>
      <c r="FU270" s="10" t="s">
        <v>40</v>
      </c>
      <c r="FW270" s="10" t="s">
        <v>40</v>
      </c>
      <c r="FY270" s="10" t="s">
        <v>40</v>
      </c>
      <c r="GA270" s="10" t="s">
        <v>40</v>
      </c>
      <c r="GC270" s="10" t="s">
        <v>40</v>
      </c>
      <c r="GE270" s="10" t="s">
        <v>40</v>
      </c>
      <c r="GG270" s="10" t="s">
        <v>40</v>
      </c>
      <c r="GI270" s="10" t="s">
        <v>40</v>
      </c>
      <c r="GK270" s="10" t="s">
        <v>40</v>
      </c>
      <c r="GM270" s="10" t="s">
        <v>40</v>
      </c>
      <c r="GO270" s="10" t="s">
        <v>40</v>
      </c>
      <c r="GQ270" s="10" t="s">
        <v>40</v>
      </c>
      <c r="GS270" s="10" t="s">
        <v>40</v>
      </c>
      <c r="GU270" s="10" t="s">
        <v>40</v>
      </c>
      <c r="GW270" s="10" t="s">
        <v>40</v>
      </c>
      <c r="GY270" s="10" t="s">
        <v>40</v>
      </c>
      <c r="HA270" s="10" t="s">
        <v>40</v>
      </c>
      <c r="HC270" s="10" t="s">
        <v>40</v>
      </c>
    </row>
    <row r="272" spans="165:211" x14ac:dyDescent="0.2">
      <c r="FS272" s="26" t="s">
        <v>40</v>
      </c>
      <c r="FU272" s="26" t="s">
        <v>40</v>
      </c>
      <c r="FW272" s="26" t="s">
        <v>40</v>
      </c>
      <c r="FY272" s="26" t="s">
        <v>40</v>
      </c>
      <c r="GA272" s="26" t="s">
        <v>40</v>
      </c>
      <c r="GC272" s="26" t="s">
        <v>40</v>
      </c>
      <c r="GE272" s="26" t="s">
        <v>40</v>
      </c>
      <c r="GG272" s="26" t="s">
        <v>40</v>
      </c>
      <c r="GI272" s="26" t="s">
        <v>40</v>
      </c>
      <c r="GK272" s="26" t="s">
        <v>40</v>
      </c>
      <c r="GM272" s="26" t="s">
        <v>40</v>
      </c>
      <c r="GO272" s="26" t="s">
        <v>40</v>
      </c>
      <c r="GQ272" s="26" t="s">
        <v>40</v>
      </c>
      <c r="GS272" s="26" t="s">
        <v>40</v>
      </c>
      <c r="GU272" s="26" t="s">
        <v>40</v>
      </c>
      <c r="GW272" s="26" t="s">
        <v>40</v>
      </c>
      <c r="GY272" s="26" t="s">
        <v>40</v>
      </c>
      <c r="HA272" s="26" t="s">
        <v>40</v>
      </c>
      <c r="HC272" s="26" t="s">
        <v>40</v>
      </c>
    </row>
    <row r="273" spans="175:211" x14ac:dyDescent="0.2">
      <c r="FS273" s="10" t="s">
        <v>40</v>
      </c>
      <c r="FU273" s="10" t="s">
        <v>40</v>
      </c>
      <c r="FW273" s="10" t="s">
        <v>40</v>
      </c>
      <c r="FY273" s="10" t="s">
        <v>40</v>
      </c>
      <c r="GA273" s="10" t="s">
        <v>40</v>
      </c>
      <c r="GC273" s="10" t="s">
        <v>40</v>
      </c>
      <c r="GE273" s="10" t="s">
        <v>40</v>
      </c>
      <c r="GG273" s="10" t="s">
        <v>40</v>
      </c>
      <c r="GI273" s="10" t="s">
        <v>40</v>
      </c>
      <c r="GK273" s="10" t="s">
        <v>40</v>
      </c>
      <c r="GM273" s="10" t="s">
        <v>40</v>
      </c>
      <c r="GO273" s="10" t="s">
        <v>40</v>
      </c>
      <c r="GQ273" s="10" t="s">
        <v>40</v>
      </c>
      <c r="GS273" s="10" t="s">
        <v>40</v>
      </c>
      <c r="GU273" s="10" t="s">
        <v>40</v>
      </c>
      <c r="GW273" s="10" t="s">
        <v>40</v>
      </c>
      <c r="GY273" s="10" t="s">
        <v>40</v>
      </c>
      <c r="HA273" s="10" t="s">
        <v>40</v>
      </c>
      <c r="HC273" s="10" t="s">
        <v>40</v>
      </c>
    </row>
    <row r="275" spans="175:211" x14ac:dyDescent="0.2">
      <c r="FU275" s="26" t="s">
        <v>40</v>
      </c>
      <c r="FW275" s="26" t="s">
        <v>40</v>
      </c>
      <c r="FY275" s="26" t="s">
        <v>40</v>
      </c>
      <c r="GA275" s="26" t="s">
        <v>40</v>
      </c>
      <c r="GC275" s="26" t="s">
        <v>40</v>
      </c>
      <c r="GE275" s="26" t="s">
        <v>40</v>
      </c>
      <c r="GG275" s="26" t="s">
        <v>40</v>
      </c>
      <c r="GI275" s="26" t="s">
        <v>40</v>
      </c>
      <c r="GK275" s="26" t="s">
        <v>40</v>
      </c>
      <c r="GM275" s="26" t="s">
        <v>40</v>
      </c>
      <c r="GO275" s="26" t="s">
        <v>40</v>
      </c>
      <c r="GQ275" s="26" t="s">
        <v>40</v>
      </c>
      <c r="GS275" s="26" t="s">
        <v>40</v>
      </c>
      <c r="GU275" s="26" t="s">
        <v>40</v>
      </c>
      <c r="GW275" s="26" t="s">
        <v>40</v>
      </c>
      <c r="GY275" s="26" t="s">
        <v>40</v>
      </c>
      <c r="HA275" s="26" t="s">
        <v>40</v>
      </c>
      <c r="HC275" s="26" t="s">
        <v>40</v>
      </c>
    </row>
    <row r="276" spans="175:211" x14ac:dyDescent="0.2">
      <c r="FU276" s="10" t="s">
        <v>40</v>
      </c>
      <c r="FW276" s="10" t="s">
        <v>40</v>
      </c>
      <c r="FY276" s="10" t="s">
        <v>40</v>
      </c>
      <c r="GA276" s="10" t="s">
        <v>40</v>
      </c>
      <c r="GC276" s="10" t="s">
        <v>40</v>
      </c>
      <c r="GE276" s="10" t="s">
        <v>40</v>
      </c>
      <c r="GG276" s="10" t="s">
        <v>40</v>
      </c>
      <c r="GI276" s="10" t="s">
        <v>40</v>
      </c>
      <c r="GK276" s="10" t="s">
        <v>40</v>
      </c>
      <c r="GM276" s="10" t="s">
        <v>40</v>
      </c>
      <c r="GO276" s="10" t="s">
        <v>40</v>
      </c>
      <c r="GQ276" s="10" t="s">
        <v>40</v>
      </c>
      <c r="GS276" s="10" t="s">
        <v>40</v>
      </c>
      <c r="GU276" s="10" t="s">
        <v>40</v>
      </c>
      <c r="GW276" s="10" t="s">
        <v>40</v>
      </c>
      <c r="GY276" s="10" t="s">
        <v>40</v>
      </c>
      <c r="HA276" s="10" t="s">
        <v>40</v>
      </c>
      <c r="HC276" s="10" t="s">
        <v>40</v>
      </c>
    </row>
    <row r="278" spans="175:211" x14ac:dyDescent="0.2">
      <c r="FW278" s="26" t="s">
        <v>40</v>
      </c>
      <c r="FY278" s="26" t="s">
        <v>40</v>
      </c>
      <c r="GA278" s="26" t="s">
        <v>40</v>
      </c>
      <c r="GC278" s="26" t="s">
        <v>40</v>
      </c>
      <c r="GE278" s="26" t="s">
        <v>40</v>
      </c>
      <c r="GG278" s="26" t="s">
        <v>40</v>
      </c>
      <c r="GI278" s="26" t="s">
        <v>40</v>
      </c>
      <c r="GK278" s="26" t="s">
        <v>40</v>
      </c>
      <c r="GM278" s="26" t="s">
        <v>40</v>
      </c>
      <c r="GO278" s="26" t="s">
        <v>40</v>
      </c>
      <c r="GQ278" s="26" t="s">
        <v>40</v>
      </c>
      <c r="GS278" s="26" t="s">
        <v>40</v>
      </c>
      <c r="GU278" s="26" t="s">
        <v>40</v>
      </c>
      <c r="GW278" s="26" t="s">
        <v>40</v>
      </c>
      <c r="GY278" s="26" t="s">
        <v>40</v>
      </c>
      <c r="HA278" s="26" t="s">
        <v>40</v>
      </c>
      <c r="HC278" s="26" t="s">
        <v>40</v>
      </c>
    </row>
    <row r="279" spans="175:211" x14ac:dyDescent="0.2">
      <c r="FW279" s="10" t="s">
        <v>40</v>
      </c>
      <c r="FY279" s="10" t="s">
        <v>40</v>
      </c>
      <c r="GA279" s="10" t="s">
        <v>40</v>
      </c>
      <c r="GC279" s="10" t="s">
        <v>40</v>
      </c>
      <c r="GE279" s="10" t="s">
        <v>40</v>
      </c>
      <c r="GG279" s="10" t="s">
        <v>40</v>
      </c>
      <c r="GI279" s="10" t="s">
        <v>40</v>
      </c>
      <c r="GK279" s="10" t="s">
        <v>40</v>
      </c>
      <c r="GM279" s="10" t="s">
        <v>40</v>
      </c>
      <c r="GO279" s="10" t="s">
        <v>40</v>
      </c>
      <c r="GQ279" s="10" t="s">
        <v>40</v>
      </c>
      <c r="GS279" s="10" t="s">
        <v>40</v>
      </c>
      <c r="GU279" s="10" t="s">
        <v>40</v>
      </c>
      <c r="GW279" s="10" t="s">
        <v>40</v>
      </c>
      <c r="GY279" s="10" t="s">
        <v>40</v>
      </c>
      <c r="HA279" s="10" t="s">
        <v>40</v>
      </c>
      <c r="HC279" s="10" t="s">
        <v>40</v>
      </c>
    </row>
    <row r="281" spans="175:211" x14ac:dyDescent="0.2">
      <c r="FY281" s="26" t="s">
        <v>40</v>
      </c>
      <c r="GA281" s="26" t="s">
        <v>40</v>
      </c>
      <c r="GC281" s="26" t="s">
        <v>40</v>
      </c>
      <c r="GE281" s="26" t="s">
        <v>40</v>
      </c>
      <c r="GG281" s="26" t="s">
        <v>40</v>
      </c>
      <c r="GI281" s="26" t="s">
        <v>40</v>
      </c>
      <c r="GK281" s="26" t="s">
        <v>40</v>
      </c>
      <c r="GM281" s="26" t="s">
        <v>40</v>
      </c>
      <c r="GO281" s="26" t="s">
        <v>40</v>
      </c>
      <c r="GQ281" s="26" t="s">
        <v>40</v>
      </c>
      <c r="GS281" s="26" t="s">
        <v>40</v>
      </c>
      <c r="GU281" s="26" t="s">
        <v>40</v>
      </c>
      <c r="GW281" s="26" t="s">
        <v>40</v>
      </c>
      <c r="GY281" s="26" t="s">
        <v>40</v>
      </c>
      <c r="HA281" s="26" t="s">
        <v>40</v>
      </c>
      <c r="HC281" s="26" t="s">
        <v>40</v>
      </c>
    </row>
    <row r="282" spans="175:211" x14ac:dyDescent="0.2">
      <c r="FY282" s="10" t="s">
        <v>40</v>
      </c>
      <c r="GA282" s="10" t="s">
        <v>40</v>
      </c>
      <c r="GC282" s="10" t="s">
        <v>40</v>
      </c>
      <c r="GE282" s="10" t="s">
        <v>40</v>
      </c>
      <c r="GG282" s="10" t="s">
        <v>40</v>
      </c>
      <c r="GI282" s="10" t="s">
        <v>40</v>
      </c>
      <c r="GK282" s="10" t="s">
        <v>40</v>
      </c>
      <c r="GM282" s="10" t="s">
        <v>40</v>
      </c>
      <c r="GO282" s="10" t="s">
        <v>40</v>
      </c>
      <c r="GQ282" s="10" t="s">
        <v>40</v>
      </c>
      <c r="GS282" s="10" t="s">
        <v>40</v>
      </c>
      <c r="GU282" s="10" t="s">
        <v>40</v>
      </c>
      <c r="GW282" s="10" t="s">
        <v>40</v>
      </c>
      <c r="GY282" s="10" t="s">
        <v>40</v>
      </c>
      <c r="HA282" s="10" t="s">
        <v>40</v>
      </c>
      <c r="HC282" s="10" t="s">
        <v>40</v>
      </c>
    </row>
    <row r="284" spans="175:211" x14ac:dyDescent="0.2">
      <c r="GA284" s="26" t="s">
        <v>40</v>
      </c>
      <c r="GC284" s="26" t="s">
        <v>40</v>
      </c>
      <c r="GE284" s="26" t="s">
        <v>40</v>
      </c>
      <c r="GG284" s="26" t="s">
        <v>40</v>
      </c>
      <c r="GI284" s="26" t="s">
        <v>40</v>
      </c>
      <c r="GK284" s="26" t="s">
        <v>40</v>
      </c>
      <c r="GM284" s="26" t="s">
        <v>40</v>
      </c>
      <c r="GO284" s="26" t="s">
        <v>40</v>
      </c>
      <c r="GQ284" s="26" t="s">
        <v>40</v>
      </c>
      <c r="GS284" s="26" t="s">
        <v>40</v>
      </c>
      <c r="GU284" s="26" t="s">
        <v>40</v>
      </c>
      <c r="GW284" s="26" t="s">
        <v>40</v>
      </c>
      <c r="GY284" s="26" t="s">
        <v>40</v>
      </c>
      <c r="HA284" s="26" t="s">
        <v>40</v>
      </c>
      <c r="HC284" s="26" t="s">
        <v>40</v>
      </c>
    </row>
    <row r="285" spans="175:211" x14ac:dyDescent="0.2">
      <c r="GA285" s="10" t="s">
        <v>40</v>
      </c>
      <c r="GC285" s="10" t="s">
        <v>40</v>
      </c>
      <c r="GE285" s="10" t="s">
        <v>40</v>
      </c>
      <c r="GG285" s="10" t="s">
        <v>40</v>
      </c>
      <c r="GI285" s="10" t="s">
        <v>40</v>
      </c>
      <c r="GK285" s="10" t="s">
        <v>40</v>
      </c>
      <c r="GM285" s="10" t="s">
        <v>40</v>
      </c>
      <c r="GO285" s="10" t="s">
        <v>40</v>
      </c>
      <c r="GQ285" s="10" t="s">
        <v>40</v>
      </c>
      <c r="GS285" s="10" t="s">
        <v>40</v>
      </c>
      <c r="GU285" s="10" t="s">
        <v>40</v>
      </c>
      <c r="GW285" s="10" t="s">
        <v>40</v>
      </c>
      <c r="GY285" s="10" t="s">
        <v>40</v>
      </c>
      <c r="HA285" s="10" t="s">
        <v>40</v>
      </c>
      <c r="HC285" s="10" t="s">
        <v>40</v>
      </c>
    </row>
    <row r="287" spans="175:211" x14ac:dyDescent="0.2">
      <c r="GC287" s="26" t="s">
        <v>40</v>
      </c>
      <c r="GE287" s="26" t="s">
        <v>40</v>
      </c>
      <c r="GG287" s="26" t="s">
        <v>40</v>
      </c>
      <c r="GI287" s="26" t="s">
        <v>40</v>
      </c>
      <c r="GK287" s="26" t="s">
        <v>40</v>
      </c>
      <c r="GM287" s="26" t="s">
        <v>40</v>
      </c>
      <c r="GO287" s="26" t="s">
        <v>40</v>
      </c>
      <c r="GQ287" s="26" t="s">
        <v>40</v>
      </c>
      <c r="GS287" s="26" t="s">
        <v>40</v>
      </c>
      <c r="GU287" s="26" t="s">
        <v>40</v>
      </c>
      <c r="GW287" s="26" t="s">
        <v>40</v>
      </c>
      <c r="GY287" s="26" t="s">
        <v>40</v>
      </c>
      <c r="HA287" s="26" t="s">
        <v>40</v>
      </c>
      <c r="HC287" s="26" t="s">
        <v>40</v>
      </c>
    </row>
    <row r="288" spans="175:211" x14ac:dyDescent="0.2">
      <c r="GC288" s="10" t="s">
        <v>40</v>
      </c>
      <c r="GE288" s="10" t="s">
        <v>40</v>
      </c>
      <c r="GG288" s="10" t="s">
        <v>40</v>
      </c>
      <c r="GI288" s="10" t="s">
        <v>40</v>
      </c>
      <c r="GK288" s="10" t="s">
        <v>40</v>
      </c>
      <c r="GM288" s="10" t="s">
        <v>40</v>
      </c>
      <c r="GO288" s="10" t="s">
        <v>40</v>
      </c>
      <c r="GQ288" s="10" t="s">
        <v>40</v>
      </c>
      <c r="GS288" s="10" t="s">
        <v>40</v>
      </c>
      <c r="GU288" s="10" t="s">
        <v>40</v>
      </c>
      <c r="GW288" s="10" t="s">
        <v>40</v>
      </c>
      <c r="GY288" s="10" t="s">
        <v>40</v>
      </c>
      <c r="HA288" s="10" t="s">
        <v>40</v>
      </c>
      <c r="HC288" s="10" t="s">
        <v>40</v>
      </c>
    </row>
    <row r="290" spans="187:211" x14ac:dyDescent="0.2">
      <c r="GE290" s="26" t="s">
        <v>40</v>
      </c>
      <c r="GG290" s="26" t="s">
        <v>40</v>
      </c>
      <c r="GI290" s="26" t="s">
        <v>40</v>
      </c>
      <c r="GK290" s="26" t="s">
        <v>40</v>
      </c>
      <c r="GM290" s="26" t="s">
        <v>40</v>
      </c>
      <c r="GO290" s="26" t="s">
        <v>40</v>
      </c>
      <c r="GQ290" s="26" t="s">
        <v>40</v>
      </c>
      <c r="GS290" s="26" t="s">
        <v>40</v>
      </c>
      <c r="GU290" s="26" t="s">
        <v>40</v>
      </c>
      <c r="GW290" s="26" t="s">
        <v>40</v>
      </c>
      <c r="GY290" s="26" t="s">
        <v>40</v>
      </c>
      <c r="HA290" s="26" t="s">
        <v>40</v>
      </c>
      <c r="HC290" s="26" t="s">
        <v>40</v>
      </c>
    </row>
    <row r="291" spans="187:211" x14ac:dyDescent="0.2">
      <c r="GE291" s="10" t="s">
        <v>40</v>
      </c>
      <c r="GG291" s="10" t="s">
        <v>40</v>
      </c>
      <c r="GI291" s="10" t="s">
        <v>40</v>
      </c>
      <c r="GK291" s="10" t="s">
        <v>40</v>
      </c>
      <c r="GM291" s="10" t="s">
        <v>40</v>
      </c>
      <c r="GO291" s="10" t="s">
        <v>40</v>
      </c>
      <c r="GQ291" s="10" t="s">
        <v>40</v>
      </c>
      <c r="GS291" s="10" t="s">
        <v>40</v>
      </c>
      <c r="GU291" s="10" t="s">
        <v>40</v>
      </c>
      <c r="GW291" s="10" t="s">
        <v>40</v>
      </c>
      <c r="GY291" s="10" t="s">
        <v>40</v>
      </c>
      <c r="HA291" s="10" t="s">
        <v>40</v>
      </c>
      <c r="HC291" s="10" t="s">
        <v>40</v>
      </c>
    </row>
    <row r="293" spans="187:211" x14ac:dyDescent="0.2">
      <c r="GG293" s="26" t="s">
        <v>40</v>
      </c>
      <c r="GI293" s="26" t="s">
        <v>40</v>
      </c>
      <c r="GK293" s="26" t="s">
        <v>40</v>
      </c>
      <c r="GM293" s="26" t="s">
        <v>40</v>
      </c>
      <c r="GO293" s="26" t="s">
        <v>40</v>
      </c>
      <c r="GQ293" s="26" t="s">
        <v>40</v>
      </c>
      <c r="GS293" s="26" t="s">
        <v>40</v>
      </c>
      <c r="GU293" s="26" t="s">
        <v>40</v>
      </c>
      <c r="GW293" s="26" t="s">
        <v>40</v>
      </c>
      <c r="GY293" s="26" t="s">
        <v>40</v>
      </c>
      <c r="HA293" s="26" t="s">
        <v>40</v>
      </c>
      <c r="HC293" s="26" t="s">
        <v>40</v>
      </c>
    </row>
    <row r="294" spans="187:211" x14ac:dyDescent="0.2">
      <c r="GG294" s="10" t="s">
        <v>40</v>
      </c>
      <c r="GI294" s="10" t="s">
        <v>40</v>
      </c>
      <c r="GK294" s="10" t="s">
        <v>40</v>
      </c>
      <c r="GM294" s="10" t="s">
        <v>40</v>
      </c>
      <c r="GO294" s="10" t="s">
        <v>40</v>
      </c>
      <c r="GQ294" s="10" t="s">
        <v>40</v>
      </c>
      <c r="GS294" s="10" t="s">
        <v>40</v>
      </c>
      <c r="GU294" s="10" t="s">
        <v>40</v>
      </c>
      <c r="GW294" s="10" t="s">
        <v>40</v>
      </c>
      <c r="GY294" s="10" t="s">
        <v>40</v>
      </c>
      <c r="HA294" s="10" t="s">
        <v>40</v>
      </c>
      <c r="HC294" s="10" t="s">
        <v>40</v>
      </c>
    </row>
    <row r="296" spans="187:211" x14ac:dyDescent="0.2">
      <c r="GI296" s="26" t="s">
        <v>40</v>
      </c>
      <c r="GK296" s="26" t="s">
        <v>40</v>
      </c>
      <c r="GM296" s="26" t="s">
        <v>40</v>
      </c>
      <c r="GO296" s="26" t="s">
        <v>40</v>
      </c>
      <c r="GQ296" s="26" t="s">
        <v>40</v>
      </c>
      <c r="GS296" s="26" t="s">
        <v>40</v>
      </c>
      <c r="GU296" s="26" t="s">
        <v>40</v>
      </c>
      <c r="GW296" s="26" t="s">
        <v>40</v>
      </c>
      <c r="GY296" s="26" t="s">
        <v>40</v>
      </c>
      <c r="HA296" s="26" t="s">
        <v>40</v>
      </c>
      <c r="HC296" s="26" t="s">
        <v>40</v>
      </c>
    </row>
    <row r="297" spans="187:211" x14ac:dyDescent="0.2">
      <c r="GI297" s="10" t="s">
        <v>40</v>
      </c>
      <c r="GK297" s="10" t="s">
        <v>40</v>
      </c>
      <c r="GM297" s="10" t="s">
        <v>40</v>
      </c>
      <c r="GO297" s="10" t="s">
        <v>40</v>
      </c>
      <c r="GQ297" s="10" t="s">
        <v>40</v>
      </c>
      <c r="GS297" s="10" t="s">
        <v>40</v>
      </c>
      <c r="GU297" s="10" t="s">
        <v>40</v>
      </c>
      <c r="GW297" s="10" t="s">
        <v>40</v>
      </c>
      <c r="GY297" s="10" t="s">
        <v>40</v>
      </c>
      <c r="HA297" s="10" t="s">
        <v>40</v>
      </c>
      <c r="HC297" s="10" t="s">
        <v>40</v>
      </c>
    </row>
    <row r="299" spans="187:211" x14ac:dyDescent="0.2">
      <c r="GK299" s="26" t="s">
        <v>40</v>
      </c>
      <c r="GM299" s="26" t="s">
        <v>40</v>
      </c>
      <c r="GO299" s="26" t="s">
        <v>40</v>
      </c>
      <c r="GQ299" s="26" t="s">
        <v>40</v>
      </c>
      <c r="GS299" s="26" t="s">
        <v>40</v>
      </c>
      <c r="GU299" s="26" t="s">
        <v>40</v>
      </c>
      <c r="GW299" s="26" t="s">
        <v>40</v>
      </c>
      <c r="GY299" s="26" t="s">
        <v>40</v>
      </c>
      <c r="HA299" s="26" t="s">
        <v>40</v>
      </c>
      <c r="HC299" s="26" t="s">
        <v>40</v>
      </c>
    </row>
    <row r="300" spans="187:211" x14ac:dyDescent="0.2">
      <c r="GK300" s="10" t="s">
        <v>40</v>
      </c>
      <c r="GM300" s="10" t="s">
        <v>40</v>
      </c>
      <c r="GO300" s="10" t="s">
        <v>40</v>
      </c>
      <c r="GQ300" s="10" t="s">
        <v>40</v>
      </c>
      <c r="GS300" s="10" t="s">
        <v>40</v>
      </c>
      <c r="GU300" s="10" t="s">
        <v>40</v>
      </c>
      <c r="GW300" s="10" t="s">
        <v>40</v>
      </c>
      <c r="GY300" s="10" t="s">
        <v>40</v>
      </c>
      <c r="HA300" s="10" t="s">
        <v>40</v>
      </c>
      <c r="HC300" s="10" t="s">
        <v>40</v>
      </c>
    </row>
    <row r="302" spans="187:211" x14ac:dyDescent="0.2">
      <c r="GM302" s="26" t="s">
        <v>40</v>
      </c>
      <c r="GO302" s="26" t="s">
        <v>40</v>
      </c>
      <c r="GQ302" s="26" t="s">
        <v>40</v>
      </c>
      <c r="GS302" s="26" t="s">
        <v>40</v>
      </c>
      <c r="GU302" s="26" t="s">
        <v>40</v>
      </c>
      <c r="GW302" s="26" t="s">
        <v>40</v>
      </c>
      <c r="GY302" s="26" t="s">
        <v>40</v>
      </c>
      <c r="HA302" s="26" t="s">
        <v>40</v>
      </c>
      <c r="HC302" s="26" t="s">
        <v>40</v>
      </c>
    </row>
    <row r="303" spans="187:211" x14ac:dyDescent="0.2">
      <c r="GM303" s="10" t="s">
        <v>40</v>
      </c>
      <c r="GO303" s="10" t="s">
        <v>40</v>
      </c>
      <c r="GQ303" s="10" t="s">
        <v>40</v>
      </c>
      <c r="GS303" s="10" t="s">
        <v>40</v>
      </c>
      <c r="GU303" s="10" t="s">
        <v>40</v>
      </c>
      <c r="GW303" s="10" t="s">
        <v>40</v>
      </c>
      <c r="GY303" s="10" t="s">
        <v>40</v>
      </c>
      <c r="HA303" s="10" t="s">
        <v>40</v>
      </c>
      <c r="HC303" s="10" t="s">
        <v>40</v>
      </c>
    </row>
    <row r="305" spans="197:211" x14ac:dyDescent="0.2">
      <c r="GO305" s="26" t="s">
        <v>40</v>
      </c>
      <c r="GQ305" s="26" t="s">
        <v>40</v>
      </c>
      <c r="GS305" s="26" t="s">
        <v>40</v>
      </c>
      <c r="GU305" s="26" t="s">
        <v>40</v>
      </c>
      <c r="GW305" s="26" t="s">
        <v>40</v>
      </c>
      <c r="GY305" s="26" t="s">
        <v>40</v>
      </c>
      <c r="HA305" s="26" t="s">
        <v>40</v>
      </c>
      <c r="HC305" s="26" t="s">
        <v>40</v>
      </c>
    </row>
    <row r="306" spans="197:211" x14ac:dyDescent="0.2">
      <c r="GO306" s="10" t="s">
        <v>40</v>
      </c>
      <c r="GQ306" s="10" t="s">
        <v>40</v>
      </c>
      <c r="GS306" s="10" t="s">
        <v>40</v>
      </c>
      <c r="GU306" s="10" t="s">
        <v>40</v>
      </c>
      <c r="GW306" s="10" t="s">
        <v>40</v>
      </c>
      <c r="GY306" s="10" t="s">
        <v>40</v>
      </c>
      <c r="HA306" s="10" t="s">
        <v>40</v>
      </c>
      <c r="HC306" s="10" t="s">
        <v>40</v>
      </c>
    </row>
    <row r="308" spans="197:211" x14ac:dyDescent="0.2">
      <c r="GQ308" s="26" t="s">
        <v>40</v>
      </c>
      <c r="GS308" s="26" t="s">
        <v>40</v>
      </c>
      <c r="GU308" s="26" t="s">
        <v>40</v>
      </c>
      <c r="GW308" s="26" t="s">
        <v>40</v>
      </c>
      <c r="GY308" s="26" t="s">
        <v>40</v>
      </c>
      <c r="HA308" s="26" t="s">
        <v>40</v>
      </c>
      <c r="HC308" s="26" t="s">
        <v>40</v>
      </c>
    </row>
    <row r="309" spans="197:211" x14ac:dyDescent="0.2">
      <c r="GQ309" s="10" t="s">
        <v>40</v>
      </c>
      <c r="GS309" s="10" t="s">
        <v>40</v>
      </c>
      <c r="GU309" s="10" t="s">
        <v>40</v>
      </c>
      <c r="GW309" s="10" t="s">
        <v>40</v>
      </c>
      <c r="GY309" s="10" t="s">
        <v>40</v>
      </c>
      <c r="HA309" s="10" t="s">
        <v>40</v>
      </c>
      <c r="HC309" s="10" t="s">
        <v>40</v>
      </c>
    </row>
    <row r="311" spans="197:211" x14ac:dyDescent="0.2">
      <c r="GS311" s="26" t="s">
        <v>40</v>
      </c>
      <c r="GU311" s="26" t="s">
        <v>40</v>
      </c>
      <c r="GW311" s="26" t="s">
        <v>40</v>
      </c>
      <c r="GY311" s="26" t="s">
        <v>40</v>
      </c>
      <c r="HA311" s="26" t="s">
        <v>40</v>
      </c>
      <c r="HC311" s="26" t="s">
        <v>40</v>
      </c>
    </row>
    <row r="312" spans="197:211" x14ac:dyDescent="0.2">
      <c r="GS312" s="10" t="s">
        <v>40</v>
      </c>
      <c r="GU312" s="10" t="s">
        <v>40</v>
      </c>
      <c r="GW312" s="10" t="s">
        <v>40</v>
      </c>
      <c r="GY312" s="10" t="s">
        <v>40</v>
      </c>
      <c r="HA312" s="10" t="s">
        <v>40</v>
      </c>
      <c r="HC312" s="10" t="s">
        <v>40</v>
      </c>
    </row>
    <row r="314" spans="197:211" x14ac:dyDescent="0.2">
      <c r="GU314" s="26" t="s">
        <v>40</v>
      </c>
      <c r="GW314" s="26" t="s">
        <v>40</v>
      </c>
      <c r="GY314" s="26" t="s">
        <v>40</v>
      </c>
      <c r="HA314" s="26" t="s">
        <v>40</v>
      </c>
      <c r="HC314" s="26" t="s">
        <v>40</v>
      </c>
    </row>
    <row r="315" spans="197:211" x14ac:dyDescent="0.2">
      <c r="GU315" s="10" t="s">
        <v>40</v>
      </c>
      <c r="GW315" s="10" t="s">
        <v>40</v>
      </c>
      <c r="GY315" s="10" t="s">
        <v>40</v>
      </c>
      <c r="HA315" s="10" t="s">
        <v>40</v>
      </c>
      <c r="HC315" s="10" t="s">
        <v>40</v>
      </c>
    </row>
    <row r="317" spans="197:211" x14ac:dyDescent="0.2">
      <c r="GW317" s="26" t="s">
        <v>40</v>
      </c>
      <c r="GY317" s="26" t="s">
        <v>40</v>
      </c>
      <c r="HA317" s="26" t="s">
        <v>40</v>
      </c>
      <c r="HC317" s="26" t="s">
        <v>40</v>
      </c>
    </row>
    <row r="318" spans="197:211" x14ac:dyDescent="0.2">
      <c r="GW318" s="10" t="s">
        <v>40</v>
      </c>
      <c r="GY318" s="10" t="s">
        <v>40</v>
      </c>
      <c r="HA318" s="10" t="s">
        <v>40</v>
      </c>
      <c r="HC318" s="10" t="s">
        <v>40</v>
      </c>
    </row>
    <row r="320" spans="197:211" x14ac:dyDescent="0.2">
      <c r="GY320" s="26" t="s">
        <v>40</v>
      </c>
      <c r="HA320" s="26" t="s">
        <v>40</v>
      </c>
      <c r="HC320" s="26" t="s">
        <v>40</v>
      </c>
    </row>
    <row r="321" spans="207:211" x14ac:dyDescent="0.2">
      <c r="GY321" s="10" t="s">
        <v>40</v>
      </c>
      <c r="HA321" s="10" t="s">
        <v>40</v>
      </c>
      <c r="HC321" s="10" t="s">
        <v>40</v>
      </c>
    </row>
    <row r="323" spans="207:211" x14ac:dyDescent="0.2">
      <c r="HA323" s="26" t="s">
        <v>40</v>
      </c>
      <c r="HC323" s="26" t="s">
        <v>40</v>
      </c>
    </row>
    <row r="324" spans="207:211" x14ac:dyDescent="0.2">
      <c r="HA324" s="10" t="s">
        <v>40</v>
      </c>
      <c r="HC324" s="10" t="s">
        <v>40</v>
      </c>
    </row>
    <row r="326" spans="207:211" x14ac:dyDescent="0.2">
      <c r="HC326" s="26" t="s">
        <v>40</v>
      </c>
    </row>
    <row r="327" spans="207:211" x14ac:dyDescent="0.2">
      <c r="HC327" s="10" t="s">
        <v>40</v>
      </c>
    </row>
  </sheetData>
  <sheetProtection algorithmName="SHA-512" hashValue="9XQ1TnY0RUmS4P6Ln3QfXMjGyenToSYhhAO1y7wyyBahHdvaSMlanyBc3F22iU/r27ov9TQ/1VI/DiPm9q5TUg==" saltValue="hULBT8vG8KaOubigQrL6HQ==" spinCount="100000" sheet="1" objects="1" scenarios="1" selectLockedCells="1"/>
  <mergeCells count="38">
    <mergeCell ref="D38:E38"/>
    <mergeCell ref="D39:E39"/>
    <mergeCell ref="D40:E40"/>
    <mergeCell ref="B2:F2"/>
    <mergeCell ref="I2:M2"/>
    <mergeCell ref="J11:K11"/>
    <mergeCell ref="J17:K17"/>
    <mergeCell ref="C17:D17"/>
    <mergeCell ref="C5:D5"/>
    <mergeCell ref="C13:E13"/>
    <mergeCell ref="D14:E14"/>
    <mergeCell ref="D15:E15"/>
    <mergeCell ref="J13:L13"/>
    <mergeCell ref="J5:K5"/>
    <mergeCell ref="Q12:R12"/>
    <mergeCell ref="I22:M22"/>
    <mergeCell ref="J25:K25"/>
    <mergeCell ref="P2:T2"/>
    <mergeCell ref="Q4:S4"/>
    <mergeCell ref="Q6:R6"/>
    <mergeCell ref="Q8:R8"/>
    <mergeCell ref="Q10:R10"/>
    <mergeCell ref="C43:D43"/>
    <mergeCell ref="J35:L35"/>
    <mergeCell ref="P22:T22"/>
    <mergeCell ref="Q25:R25"/>
    <mergeCell ref="Q27:R27"/>
    <mergeCell ref="Q29:R30"/>
    <mergeCell ref="S29:S30"/>
    <mergeCell ref="Q32:S32"/>
    <mergeCell ref="J43:K43"/>
    <mergeCell ref="D41:E41"/>
    <mergeCell ref="B22:F22"/>
    <mergeCell ref="C25:D25"/>
    <mergeCell ref="C32:D32"/>
    <mergeCell ref="C35:E35"/>
    <mergeCell ref="D36:E36"/>
    <mergeCell ref="D37:E37"/>
  </mergeCells>
  <conditionalFormatting sqref="S33">
    <cfRule type="expression" dxfId="3" priority="3">
      <formula>S33 = "Long"</formula>
    </cfRule>
    <cfRule type="expression" dxfId="2" priority="4">
      <formula>S33 = "Short"</formula>
    </cfRule>
  </conditionalFormatting>
  <conditionalFormatting sqref="S34">
    <cfRule type="expression" dxfId="1" priority="1">
      <formula>S34 = "Long"</formula>
    </cfRule>
    <cfRule type="expression" dxfId="0" priority="2">
      <formula>S34 = "Short"</formula>
    </cfRule>
  </conditionalFormatting>
  <dataValidations count="4">
    <dataValidation type="list" allowBlank="1" showInputMessage="1" showErrorMessage="1" sqref="E5" xr:uid="{1270CA0B-334F-D44A-8E3E-9A8A5BAD7C20}">
      <formula1>"Call, Put"</formula1>
    </dataValidation>
    <dataValidation type="list" allowBlank="1" showInputMessage="1" showErrorMessage="1" sqref="E32" xr:uid="{40118419-BC75-EC4E-B7E1-4A6309ECC2FE}">
      <formula1>"American, European"</formula1>
    </dataValidation>
    <dataValidation type="list" allowBlank="1" showInputMessage="1" showErrorMessage="1" sqref="S27" xr:uid="{5CAAA0C4-0A5C-D140-A617-76F1A002DCE1}">
      <formula1>"Long, Short"</formula1>
    </dataValidation>
    <dataValidation type="list" allowBlank="1" showInputMessage="1" showErrorMessage="1" sqref="R26" xr:uid="{B71444A6-CCD9-9C4B-A6E2-412AEB7200F8}">
      <formula1>"options, shares"</formula1>
    </dataValidation>
  </dataValidations>
  <pageMargins left="0.7" right="0.7" top="0.75" bottom="0.75" header="0.3" footer="0.3"/>
  <ignoredErrors>
    <ignoredError sqref="E11"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1079" r:id="rId3" name="Button 55">
              <controlPr defaultSize="0" print="0" autoFill="0" autoPict="0" macro="[0]!ClearTree">
                <anchor moveWithCells="1" sizeWithCells="1">
                  <from>
                    <xdr:col>3</xdr:col>
                    <xdr:colOff>596900</xdr:colOff>
                    <xdr:row>43</xdr:row>
                    <xdr:rowOff>177800</xdr:rowOff>
                  </from>
                  <to>
                    <xdr:col>5</xdr:col>
                    <xdr:colOff>139700</xdr:colOff>
                    <xdr:row>44</xdr:row>
                    <xdr:rowOff>508000</xdr:rowOff>
                  </to>
                </anchor>
              </controlPr>
            </control>
          </mc:Choice>
        </mc:AlternateContent>
        <mc:AlternateContent xmlns:mc="http://schemas.openxmlformats.org/markup-compatibility/2006">
          <mc:Choice Requires="x14">
            <control shapeId="1080" r:id="rId4" name="Button 56">
              <controlPr defaultSize="0" print="0" autoFill="0" autoPict="0" macro="[0]!BinomialTree">
                <anchor moveWithCells="1" sizeWithCells="1">
                  <from>
                    <xdr:col>1</xdr:col>
                    <xdr:colOff>381000</xdr:colOff>
                    <xdr:row>43</xdr:row>
                    <xdr:rowOff>177800</xdr:rowOff>
                  </from>
                  <to>
                    <xdr:col>2</xdr:col>
                    <xdr:colOff>1003300</xdr:colOff>
                    <xdr:row>44</xdr:row>
                    <xdr:rowOff>508000</xdr:rowOff>
                  </to>
                </anchor>
              </controlPr>
            </control>
          </mc:Choice>
        </mc:AlternateContent>
        <mc:AlternateContent xmlns:mc="http://schemas.openxmlformats.org/markup-compatibility/2006">
          <mc:Choice Requires="x14">
            <control shapeId="1173" r:id="rId5" name="Button 149">
              <controlPr defaultSize="0" print="0" autoFill="0" autoPict="0" macro="[0]!MonteCarlo">
                <anchor moveWithCells="1" sizeWithCells="1">
                  <from>
                    <xdr:col>9</xdr:col>
                    <xdr:colOff>711200</xdr:colOff>
                    <xdr:row>36</xdr:row>
                    <xdr:rowOff>190500</xdr:rowOff>
                  </from>
                  <to>
                    <xdr:col>11</xdr:col>
                    <xdr:colOff>368300</xdr:colOff>
                    <xdr:row>39</xdr:row>
                    <xdr:rowOff>127000</xdr:rowOff>
                  </to>
                </anchor>
              </controlPr>
            </control>
          </mc:Choice>
        </mc:AlternateContent>
        <mc:AlternateContent xmlns:mc="http://schemas.openxmlformats.org/markup-compatibility/2006">
          <mc:Choice Requires="x14">
            <control shapeId="1177" r:id="rId6" name="Button 153">
              <controlPr defaultSize="0" print="0" autoFill="0" autoPict="0" macro="[0]!SeePlots">
                <anchor moveWithCells="1" sizeWithCells="1">
                  <from>
                    <xdr:col>16</xdr:col>
                    <xdr:colOff>711200</xdr:colOff>
                    <xdr:row>13</xdr:row>
                    <xdr:rowOff>88900</xdr:rowOff>
                  </from>
                  <to>
                    <xdr:col>18</xdr:col>
                    <xdr:colOff>254000</xdr:colOff>
                    <xdr:row>16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B4BAB-7F0C-F540-B242-6A29EB508D6A}">
  <sheetPr codeName="Sheet3"/>
  <dimension ref="A1:FTV1001"/>
  <sheetViews>
    <sheetView showGridLines="0" tabSelected="1" zoomScale="75" workbookViewId="0">
      <selection activeCell="G27" sqref="G27"/>
    </sheetView>
  </sheetViews>
  <sheetFormatPr baseColWidth="10" defaultRowHeight="16" zeroHeight="1" x14ac:dyDescent="0.2"/>
  <cols>
    <col min="1" max="1" width="13.33203125" style="104" customWidth="1"/>
    <col min="3" max="3" width="26.33203125" customWidth="1"/>
    <col min="5" max="5" width="12.5" customWidth="1"/>
    <col min="7" max="7" width="10.83203125" style="10"/>
    <col min="8" max="8" width="10.83203125" style="10" customWidth="1"/>
    <col min="9" max="9" width="11.83203125" customWidth="1"/>
    <col min="12" max="12" width="11.5" customWidth="1"/>
    <col min="14" max="14" width="20.83203125" customWidth="1"/>
    <col min="15" max="15" width="16.5" customWidth="1"/>
    <col min="16" max="16" width="11.6640625" customWidth="1"/>
    <col min="18" max="18" width="13.6640625" customWidth="1"/>
    <col min="20" max="20" width="12.33203125" customWidth="1"/>
    <col min="21" max="22" width="14.33203125" bestFit="1" customWidth="1"/>
    <col min="23" max="24" width="13.6640625" bestFit="1" customWidth="1"/>
    <col min="25" max="27" width="14.33203125" bestFit="1" customWidth="1"/>
    <col min="28" max="29" width="13.6640625" bestFit="1" customWidth="1"/>
    <col min="30" max="112" width="11" bestFit="1" customWidth="1"/>
    <col min="113" max="114" width="13.33203125" bestFit="1" customWidth="1"/>
    <col min="115" max="115" width="13.6640625" bestFit="1" customWidth="1"/>
    <col min="116" max="118" width="14.33203125" bestFit="1" customWidth="1"/>
    <col min="119" max="121" width="13.6640625" bestFit="1" customWidth="1"/>
  </cols>
  <sheetData>
    <row r="1" spans="1:4598" s="104" customFormat="1" ht="30" customHeight="1" thickBot="1" x14ac:dyDescent="0.25">
      <c r="A1" s="394">
        <v>-3.2069321402770625</v>
      </c>
      <c r="B1"/>
      <c r="C1"/>
      <c r="D1"/>
      <c r="E1"/>
      <c r="F1"/>
      <c r="G1" s="10"/>
      <c r="H1" s="10"/>
      <c r="I1"/>
      <c r="J1"/>
      <c r="K1"/>
      <c r="L1"/>
      <c r="M1"/>
      <c r="N1"/>
      <c r="O1"/>
      <c r="P1"/>
      <c r="Q1"/>
      <c r="R1"/>
      <c r="S1"/>
      <c r="T1"/>
    </row>
    <row r="2" spans="1:4598" s="104" customFormat="1" ht="30" customHeight="1" thickBot="1" x14ac:dyDescent="0.25">
      <c r="A2" s="144">
        <v>-2.7635752566993808</v>
      </c>
      <c r="B2" s="525" t="s">
        <v>160</v>
      </c>
      <c r="C2" s="526"/>
      <c r="D2" s="358"/>
      <c r="E2" s="358"/>
      <c r="F2" s="359"/>
      <c r="G2" s="10"/>
      <c r="H2" s="525" t="s">
        <v>169</v>
      </c>
      <c r="I2" s="526"/>
      <c r="J2" s="526"/>
      <c r="K2" s="526"/>
      <c r="L2" s="526"/>
      <c r="M2" s="526"/>
      <c r="N2" s="343"/>
      <c r="O2"/>
      <c r="P2" s="372"/>
      <c r="Q2" s="546" t="s">
        <v>76</v>
      </c>
      <c r="R2" s="547"/>
      <c r="S2" s="548"/>
      <c r="T2" s="373"/>
      <c r="U2" s="131"/>
      <c r="V2" s="131"/>
      <c r="W2" s="131"/>
      <c r="X2" s="131"/>
      <c r="Y2" s="131"/>
      <c r="Z2" s="131"/>
      <c r="AA2" s="131"/>
      <c r="AB2" s="131"/>
      <c r="AC2" s="131"/>
      <c r="AD2" s="131"/>
      <c r="AE2" s="131"/>
      <c r="AF2" s="131"/>
      <c r="AG2" s="131"/>
      <c r="AH2" s="131"/>
      <c r="AI2" s="131"/>
      <c r="AJ2" s="131"/>
      <c r="AK2" s="131"/>
      <c r="AL2" s="131"/>
      <c r="AM2" s="131"/>
      <c r="AN2" s="131"/>
      <c r="AO2" s="131"/>
      <c r="AP2" s="131"/>
      <c r="AQ2" s="131"/>
      <c r="AR2" s="131"/>
      <c r="AS2" s="131"/>
      <c r="AT2" s="131"/>
      <c r="AU2" s="131"/>
      <c r="AV2" s="131"/>
      <c r="AW2" s="131"/>
      <c r="AX2" s="131"/>
      <c r="AY2" s="131"/>
      <c r="AZ2" s="131"/>
      <c r="BA2" s="131"/>
      <c r="BB2" s="131"/>
      <c r="BC2" s="131"/>
      <c r="BD2" s="131"/>
      <c r="BE2" s="131"/>
      <c r="BF2" s="131"/>
      <c r="BG2" s="131"/>
      <c r="BH2" s="131"/>
      <c r="BI2" s="131"/>
      <c r="BJ2" s="131"/>
      <c r="BK2" s="131"/>
      <c r="BL2" s="131"/>
      <c r="BM2" s="131"/>
      <c r="BN2" s="131"/>
      <c r="BO2" s="131"/>
      <c r="BP2" s="131"/>
      <c r="BQ2" s="131"/>
      <c r="BR2" s="131"/>
      <c r="BS2" s="131"/>
      <c r="BT2" s="131"/>
      <c r="BU2" s="131"/>
      <c r="BV2" s="131"/>
      <c r="BW2" s="131"/>
      <c r="BX2" s="131"/>
      <c r="BY2" s="131"/>
      <c r="BZ2" s="131"/>
      <c r="CA2" s="131"/>
      <c r="CB2" s="131"/>
      <c r="CC2" s="131"/>
      <c r="CD2" s="131"/>
      <c r="CE2" s="131"/>
      <c r="CF2" s="131"/>
      <c r="CG2" s="131"/>
      <c r="CH2" s="131"/>
      <c r="CI2" s="131"/>
      <c r="CJ2" s="131"/>
      <c r="CK2" s="131"/>
      <c r="CL2" s="131"/>
      <c r="CM2" s="131"/>
      <c r="CN2" s="131"/>
      <c r="CO2" s="131"/>
      <c r="CP2" s="131"/>
      <c r="CQ2" s="131"/>
      <c r="CR2" s="131"/>
      <c r="CS2" s="131"/>
      <c r="CT2" s="131"/>
      <c r="CU2" s="131"/>
      <c r="CV2" s="131"/>
      <c r="CW2" s="131"/>
      <c r="CX2" s="131"/>
      <c r="CY2" s="131"/>
      <c r="CZ2" s="131"/>
      <c r="DA2" s="131"/>
      <c r="DB2" s="131"/>
      <c r="DC2" s="131"/>
      <c r="DD2" s="131"/>
      <c r="DE2" s="131"/>
      <c r="DF2" s="131"/>
      <c r="DG2" s="131"/>
      <c r="DH2" s="131"/>
      <c r="DI2" s="131"/>
      <c r="DJ2" s="131"/>
      <c r="DK2" s="131"/>
      <c r="DL2" s="131"/>
      <c r="DM2" s="131"/>
      <c r="DN2" s="131"/>
      <c r="DO2" s="131"/>
      <c r="DP2" s="131"/>
      <c r="DQ2" s="131"/>
    </row>
    <row r="3" spans="1:4598" s="104" customFormat="1" ht="15" customHeight="1" thickBot="1" x14ac:dyDescent="0.25">
      <c r="A3" s="104">
        <v>-2.5164003309308085</v>
      </c>
      <c r="B3" s="355"/>
      <c r="C3" s="356"/>
      <c r="D3" s="356"/>
      <c r="E3" s="356"/>
      <c r="F3" s="357"/>
      <c r="G3" s="10"/>
      <c r="H3" s="360"/>
      <c r="I3" s="38"/>
      <c r="J3" s="38"/>
      <c r="K3" s="38"/>
      <c r="L3" s="38"/>
      <c r="M3" s="38"/>
      <c r="N3" s="105"/>
      <c r="O3"/>
      <c r="P3" s="346"/>
      <c r="Q3" s="134"/>
      <c r="R3" s="134"/>
      <c r="S3" s="134"/>
      <c r="T3" s="347"/>
      <c r="U3" s="131">
        <v>60</v>
      </c>
      <c r="V3" s="131">
        <v>60.8</v>
      </c>
      <c r="W3" s="131">
        <v>61.6</v>
      </c>
      <c r="X3" s="131">
        <v>62.4</v>
      </c>
      <c r="Y3" s="131">
        <v>63.2</v>
      </c>
      <c r="Z3" s="131">
        <v>64</v>
      </c>
      <c r="AA3" s="131">
        <v>64.8</v>
      </c>
      <c r="AB3" s="131">
        <v>65.599999999999994</v>
      </c>
      <c r="AC3" s="131">
        <v>66.400000000000006</v>
      </c>
      <c r="AD3" s="131">
        <v>67.2</v>
      </c>
      <c r="AE3" s="131">
        <v>68</v>
      </c>
      <c r="AF3" s="131">
        <v>68.8</v>
      </c>
      <c r="AG3" s="131">
        <v>69.599999999999994</v>
      </c>
      <c r="AH3" s="131">
        <v>70.400000000000006</v>
      </c>
      <c r="AI3" s="131">
        <v>71.2</v>
      </c>
      <c r="AJ3" s="131">
        <v>72</v>
      </c>
      <c r="AK3" s="131">
        <v>72.8</v>
      </c>
      <c r="AL3" s="131">
        <v>73.599999999999994</v>
      </c>
      <c r="AM3" s="131">
        <v>74.400000000000006</v>
      </c>
      <c r="AN3" s="131">
        <v>75.2</v>
      </c>
      <c r="AO3" s="131">
        <v>76</v>
      </c>
      <c r="AP3" s="131">
        <v>76.8</v>
      </c>
      <c r="AQ3" s="131">
        <v>77.599999999999994</v>
      </c>
      <c r="AR3" s="131">
        <v>78.400000000000006</v>
      </c>
      <c r="AS3" s="131">
        <v>79.2</v>
      </c>
      <c r="AT3" s="131">
        <v>80</v>
      </c>
      <c r="AU3" s="131">
        <v>80.8</v>
      </c>
      <c r="AV3" s="131">
        <v>81.599999999999994</v>
      </c>
      <c r="AW3" s="131">
        <v>82.4</v>
      </c>
      <c r="AX3" s="131">
        <v>83.2</v>
      </c>
      <c r="AY3" s="131">
        <v>84</v>
      </c>
      <c r="AZ3" s="131">
        <v>84.8</v>
      </c>
      <c r="BA3" s="131">
        <v>85.6</v>
      </c>
      <c r="BB3" s="131">
        <v>86.4</v>
      </c>
      <c r="BC3" s="131">
        <v>87.2</v>
      </c>
      <c r="BD3" s="131">
        <v>88</v>
      </c>
      <c r="BE3" s="131">
        <v>88.8</v>
      </c>
      <c r="BF3" s="131">
        <v>89.6</v>
      </c>
      <c r="BG3" s="131">
        <v>90.4</v>
      </c>
      <c r="BH3" s="131">
        <v>91.2</v>
      </c>
      <c r="BI3" s="131">
        <v>92</v>
      </c>
      <c r="BJ3" s="131">
        <v>92.8</v>
      </c>
      <c r="BK3" s="131">
        <v>93.6</v>
      </c>
      <c r="BL3" s="131">
        <v>94.4</v>
      </c>
      <c r="BM3" s="131">
        <v>95.2</v>
      </c>
      <c r="BN3" s="131">
        <v>96</v>
      </c>
      <c r="BO3" s="131">
        <v>96.8</v>
      </c>
      <c r="BP3" s="131">
        <v>97.6</v>
      </c>
      <c r="BQ3" s="131">
        <v>98.4</v>
      </c>
      <c r="BR3" s="131">
        <v>99.2</v>
      </c>
      <c r="BS3" s="131">
        <v>100</v>
      </c>
      <c r="BT3" s="131">
        <v>100.8</v>
      </c>
      <c r="BU3" s="131">
        <v>101.6</v>
      </c>
      <c r="BV3" s="131">
        <v>102.4</v>
      </c>
      <c r="BW3" s="131">
        <v>103.2</v>
      </c>
      <c r="BX3" s="131">
        <v>104</v>
      </c>
      <c r="BY3" s="131">
        <v>104.8</v>
      </c>
      <c r="BZ3" s="131">
        <v>105.6</v>
      </c>
      <c r="CA3" s="131">
        <v>106.4</v>
      </c>
      <c r="CB3" s="131">
        <v>107.2</v>
      </c>
      <c r="CC3" s="131">
        <v>108</v>
      </c>
      <c r="CD3" s="131">
        <v>108.8</v>
      </c>
      <c r="CE3" s="131">
        <v>109.6</v>
      </c>
      <c r="CF3" s="131">
        <v>110.4</v>
      </c>
      <c r="CG3" s="131">
        <v>111.2</v>
      </c>
      <c r="CH3" s="131">
        <v>112</v>
      </c>
      <c r="CI3" s="131">
        <v>112.8</v>
      </c>
      <c r="CJ3" s="131">
        <v>113.6</v>
      </c>
      <c r="CK3" s="131">
        <v>114.4</v>
      </c>
      <c r="CL3" s="131">
        <v>115.2</v>
      </c>
      <c r="CM3" s="131">
        <v>116</v>
      </c>
      <c r="CN3" s="131">
        <v>116.8</v>
      </c>
      <c r="CO3" s="131">
        <v>117.6</v>
      </c>
      <c r="CP3" s="131">
        <v>118.4</v>
      </c>
      <c r="CQ3" s="131">
        <v>119.2</v>
      </c>
      <c r="CR3" s="131">
        <v>120</v>
      </c>
      <c r="CS3" s="131">
        <v>120.8</v>
      </c>
      <c r="CT3" s="131">
        <v>121.6</v>
      </c>
      <c r="CU3" s="131">
        <v>122.4</v>
      </c>
      <c r="CV3" s="131">
        <v>123.2</v>
      </c>
      <c r="CW3" s="131">
        <v>124</v>
      </c>
      <c r="CX3" s="131">
        <v>124.8</v>
      </c>
      <c r="CY3" s="131">
        <v>125.6</v>
      </c>
      <c r="CZ3" s="131">
        <v>126.4</v>
      </c>
      <c r="DA3" s="131">
        <v>127.2</v>
      </c>
      <c r="DB3" s="131">
        <v>128</v>
      </c>
      <c r="DC3" s="131">
        <v>128.80000000000001</v>
      </c>
      <c r="DD3" s="131">
        <v>129.6</v>
      </c>
      <c r="DE3" s="131">
        <v>130.4</v>
      </c>
      <c r="DF3" s="131">
        <v>131.19999999999999</v>
      </c>
      <c r="DG3" s="131">
        <v>132</v>
      </c>
      <c r="DH3" s="131">
        <v>132.80000000000001</v>
      </c>
      <c r="DI3" s="131">
        <v>133.6</v>
      </c>
      <c r="DJ3" s="131">
        <v>134.4</v>
      </c>
      <c r="DK3" s="131">
        <v>135.19999999999999</v>
      </c>
      <c r="DL3" s="131">
        <v>136</v>
      </c>
      <c r="DM3" s="131">
        <v>136.80000000000001</v>
      </c>
      <c r="DN3" s="131">
        <v>137.6</v>
      </c>
      <c r="DO3" s="131">
        <v>138.4</v>
      </c>
      <c r="DP3" s="131">
        <v>139.19999999999999</v>
      </c>
      <c r="DQ3" s="131">
        <v>140</v>
      </c>
    </row>
    <row r="4" spans="1:4598" s="104" customFormat="1" ht="25" customHeight="1" thickBot="1" x14ac:dyDescent="0.35">
      <c r="A4" s="104">
        <v>-2.5058933579721283</v>
      </c>
      <c r="B4" s="533" t="s">
        <v>156</v>
      </c>
      <c r="C4" s="534"/>
      <c r="D4" s="534"/>
      <c r="E4" s="534"/>
      <c r="F4" s="535"/>
      <c r="G4" s="320"/>
      <c r="H4" s="361"/>
      <c r="I4" s="491" t="s">
        <v>68</v>
      </c>
      <c r="J4" s="527"/>
      <c r="K4" s="522"/>
      <c r="L4" s="491" t="s">
        <v>69</v>
      </c>
      <c r="M4" s="522"/>
      <c r="N4" s="191"/>
      <c r="O4" s="132"/>
      <c r="P4" s="549" t="str">
        <f xml:space="preserve"> "For an underlying asset price   S = " &amp; S0</f>
        <v>For an underlying asset price   S = 100</v>
      </c>
      <c r="Q4" s="475" t="s">
        <v>67</v>
      </c>
      <c r="R4" s="476"/>
      <c r="S4" s="136">
        <f>SUM(E41:XFD41)</f>
        <v>114.69533369257243</v>
      </c>
      <c r="T4" s="345"/>
      <c r="U4" s="378">
        <v>-1005.3046663074276</v>
      </c>
      <c r="V4" s="131">
        <v>-982.90466630742776</v>
      </c>
      <c r="W4" s="131">
        <v>-960.50466630742767</v>
      </c>
      <c r="X4" s="131">
        <v>-938.10466630742758</v>
      </c>
      <c r="Y4" s="131">
        <v>-915.70466630742749</v>
      </c>
      <c r="Z4" s="131">
        <v>-893.30466630742762</v>
      </c>
      <c r="AA4" s="131">
        <v>-870.90466630742776</v>
      </c>
      <c r="AB4" s="131">
        <v>-848.50466630742767</v>
      </c>
      <c r="AC4" s="131">
        <v>-826.10466630742735</v>
      </c>
      <c r="AD4" s="131">
        <v>-803.70466630742749</v>
      </c>
      <c r="AE4" s="131">
        <v>-781.30466630742762</v>
      </c>
      <c r="AF4" s="131">
        <v>-758.90466630742776</v>
      </c>
      <c r="AG4" s="131">
        <v>-736.50466630742767</v>
      </c>
      <c r="AH4" s="131">
        <v>-714.10466630742735</v>
      </c>
      <c r="AI4" s="131">
        <v>-691.70466630742749</v>
      </c>
      <c r="AJ4" s="131">
        <v>-669.30466630742762</v>
      </c>
      <c r="AK4" s="131">
        <v>-646.90466630742776</v>
      </c>
      <c r="AL4" s="131">
        <v>-624.50466630742767</v>
      </c>
      <c r="AM4" s="131">
        <v>-602.10466630742735</v>
      </c>
      <c r="AN4" s="131">
        <v>-579.70466630742749</v>
      </c>
      <c r="AO4" s="131">
        <v>-557.30466630742762</v>
      </c>
      <c r="AP4" s="131">
        <v>-534.90466630742776</v>
      </c>
      <c r="AQ4" s="131">
        <v>-512.50466630742767</v>
      </c>
      <c r="AR4" s="131">
        <v>-490.10466630742741</v>
      </c>
      <c r="AS4" s="131">
        <v>-467.70466630742743</v>
      </c>
      <c r="AT4" s="131">
        <v>-445.30466630742757</v>
      </c>
      <c r="AU4" s="131">
        <v>-422.9046663074277</v>
      </c>
      <c r="AV4" s="131">
        <v>-400.50466630742773</v>
      </c>
      <c r="AW4" s="131">
        <v>-378.10466630742741</v>
      </c>
      <c r="AX4" s="131">
        <v>-355.70466630742749</v>
      </c>
      <c r="AY4" s="131">
        <v>-333.30466630742757</v>
      </c>
      <c r="AZ4" s="131">
        <v>-310.90466630742765</v>
      </c>
      <c r="BA4" s="131">
        <v>-288.50466630742773</v>
      </c>
      <c r="BB4" s="131">
        <v>-266.10466630742741</v>
      </c>
      <c r="BC4" s="131">
        <v>-243.70466630742749</v>
      </c>
      <c r="BD4" s="131">
        <v>-221.30466630742757</v>
      </c>
      <c r="BE4" s="131">
        <v>-198.90466630742765</v>
      </c>
      <c r="BF4" s="131">
        <v>-176.50466630742773</v>
      </c>
      <c r="BG4" s="131">
        <v>-154.10466630742741</v>
      </c>
      <c r="BH4" s="131">
        <v>-131.70466630742749</v>
      </c>
      <c r="BI4" s="131">
        <v>-109.30466630742757</v>
      </c>
      <c r="BJ4" s="131">
        <v>-86.904666307427647</v>
      </c>
      <c r="BK4" s="131">
        <v>-64.504666307427726</v>
      </c>
      <c r="BL4" s="131">
        <v>-42.104666307427408</v>
      </c>
      <c r="BM4" s="131">
        <v>-19.704666307427487</v>
      </c>
      <c r="BN4" s="131">
        <v>2.6953336925724329</v>
      </c>
      <c r="BO4" s="131">
        <v>25.095333692572353</v>
      </c>
      <c r="BP4" s="131">
        <v>47.495333692572274</v>
      </c>
      <c r="BQ4" s="131">
        <v>69.895333692572592</v>
      </c>
      <c r="BR4" s="131">
        <v>92.295333692572513</v>
      </c>
      <c r="BS4" s="131">
        <v>114.69533369257243</v>
      </c>
      <c r="BT4" s="131">
        <v>100.29533369257247</v>
      </c>
      <c r="BU4" s="131">
        <v>85.895333692572535</v>
      </c>
      <c r="BV4" s="131">
        <v>71.495333692572331</v>
      </c>
      <c r="BW4" s="131">
        <v>57.095333692572382</v>
      </c>
      <c r="BX4" s="131">
        <v>42.695333692572419</v>
      </c>
      <c r="BY4" s="131">
        <v>28.29533369257247</v>
      </c>
      <c r="BZ4" s="131">
        <v>13.895333692572564</v>
      </c>
      <c r="CA4" s="131">
        <v>-0.50466630742764096</v>
      </c>
      <c r="CB4" s="131">
        <v>-14.904666307427647</v>
      </c>
      <c r="CC4" s="131">
        <v>-29.304666307427624</v>
      </c>
      <c r="CD4" s="131">
        <v>-43.704666307427544</v>
      </c>
      <c r="CE4" s="131">
        <v>-58.104666307427522</v>
      </c>
      <c r="CF4" s="131">
        <v>-72.504666307427726</v>
      </c>
      <c r="CG4" s="131">
        <v>-86.904666307427647</v>
      </c>
      <c r="CH4" s="131">
        <v>-101.30466630742762</v>
      </c>
      <c r="CI4" s="131">
        <v>-115.70466630742766</v>
      </c>
      <c r="CJ4" s="131">
        <v>-130.10466630742746</v>
      </c>
      <c r="CK4" s="131">
        <v>-144.50466630742767</v>
      </c>
      <c r="CL4" s="131">
        <v>-158.90466630742759</v>
      </c>
      <c r="CM4" s="131">
        <v>-173.30466630742762</v>
      </c>
      <c r="CN4" s="131">
        <v>-187.70466630742766</v>
      </c>
      <c r="CO4" s="131">
        <v>-202.10466630742746</v>
      </c>
      <c r="CP4" s="131">
        <v>-216.50466630742767</v>
      </c>
      <c r="CQ4" s="131">
        <v>-230.90466630742742</v>
      </c>
      <c r="CR4" s="131">
        <v>-245.30466630742751</v>
      </c>
      <c r="CS4" s="131">
        <v>-259.7046663074276</v>
      </c>
      <c r="CT4" s="131">
        <v>-274.10466630742724</v>
      </c>
      <c r="CU4" s="131">
        <v>-288.50466630742778</v>
      </c>
      <c r="CV4" s="131">
        <v>-302.90466630742753</v>
      </c>
      <c r="CW4" s="131">
        <v>-317.30466630742785</v>
      </c>
      <c r="CX4" s="131">
        <v>-331.70466630742749</v>
      </c>
      <c r="CY4" s="131">
        <v>-346.10466630742724</v>
      </c>
      <c r="CZ4" s="131">
        <v>-360.50466630742778</v>
      </c>
      <c r="DA4" s="131">
        <v>-374.90466630742753</v>
      </c>
      <c r="DB4" s="131">
        <v>-389.30466630742785</v>
      </c>
      <c r="DC4" s="131">
        <v>-403.70466630742771</v>
      </c>
      <c r="DD4" s="131">
        <v>-418.10466630742724</v>
      </c>
      <c r="DE4" s="131">
        <v>-432.50466630742778</v>
      </c>
      <c r="DF4" s="131">
        <v>-446.90466630742731</v>
      </c>
      <c r="DG4" s="131">
        <v>-461.30466630742785</v>
      </c>
      <c r="DH4" s="131">
        <v>-475.70466630742771</v>
      </c>
      <c r="DI4" s="131">
        <v>-490.10466630742724</v>
      </c>
      <c r="DJ4" s="131">
        <v>-504.50466630742778</v>
      </c>
      <c r="DK4" s="131">
        <v>-518.90466630742731</v>
      </c>
      <c r="DL4" s="131">
        <v>-533.30466630742785</v>
      </c>
      <c r="DM4" s="131">
        <v>-547.70466630742771</v>
      </c>
      <c r="DN4" s="131">
        <v>-562.10466630742735</v>
      </c>
      <c r="DO4" s="131">
        <v>-576.50466630742767</v>
      </c>
      <c r="DP4" s="131">
        <v>-590.90466630742731</v>
      </c>
      <c r="DQ4" s="131">
        <v>-605.30466630742785</v>
      </c>
    </row>
    <row r="5" spans="1:4598" s="104" customFormat="1" ht="17" thickBot="1" x14ac:dyDescent="0.25">
      <c r="A5" s="394">
        <v>-2.326990694737185</v>
      </c>
      <c r="B5" s="344"/>
      <c r="C5" s="133"/>
      <c r="D5" s="133"/>
      <c r="E5" s="133"/>
      <c r="F5" s="345"/>
      <c r="G5" s="182"/>
      <c r="H5" s="340"/>
      <c r="I5" s="162"/>
      <c r="J5" s="162"/>
      <c r="K5" s="162"/>
      <c r="L5" s="551" t="s">
        <v>74</v>
      </c>
      <c r="M5" s="553">
        <v>10</v>
      </c>
      <c r="N5" s="191"/>
      <c r="O5" s="132"/>
      <c r="P5" s="538"/>
      <c r="Q5" s="475" t="s">
        <v>44</v>
      </c>
      <c r="R5" s="476"/>
      <c r="S5" s="136">
        <f>SUM(E44:XFD44)</f>
        <v>0.97097595372948875</v>
      </c>
      <c r="T5" s="347"/>
      <c r="U5" s="379">
        <v>0.99999966490846348</v>
      </c>
      <c r="V5" s="131">
        <v>0.99999933908015481</v>
      </c>
      <c r="W5" s="131">
        <v>0.99999872952682201</v>
      </c>
      <c r="X5" s="131">
        <v>0.99999761764047368</v>
      </c>
      <c r="Y5" s="131">
        <v>0.99999563835019623</v>
      </c>
      <c r="Z5" s="131">
        <v>0.99999219709317066</v>
      </c>
      <c r="AA5" s="131">
        <v>0.99998634884505355</v>
      </c>
      <c r="AB5" s="131">
        <v>0.99997662667270293</v>
      </c>
      <c r="AC5" s="131">
        <v>0.99996080532328135</v>
      </c>
      <c r="AD5" s="131">
        <v>0.99993558404925087</v>
      </c>
      <c r="AE5" s="131">
        <v>0.99989617264728092</v>
      </c>
      <c r="AF5" s="131">
        <v>0.99983576606398472</v>
      </c>
      <c r="AG5" s="131">
        <v>0.99974489638536368</v>
      </c>
      <c r="AH5" s="131">
        <v>0.99961065699265517</v>
      </c>
      <c r="AI5" s="131">
        <v>0.99941580239724337</v>
      </c>
      <c r="AJ5" s="131">
        <v>0.99913773882045764</v>
      </c>
      <c r="AK5" s="131">
        <v>0.99874743480743589</v>
      </c>
      <c r="AL5" s="131">
        <v>0.9982082977557446</v>
      </c>
      <c r="AM5" s="131">
        <v>0.99747508090334802</v>
      </c>
      <c r="AN5" s="131">
        <v>0.99649290600897833</v>
      </c>
      <c r="AO5" s="131">
        <v>0.99519651014137811</v>
      </c>
      <c r="AP5" s="131">
        <v>0.99350985182322582</v>
      </c>
      <c r="AQ5" s="131">
        <v>0.99134624391238602</v>
      </c>
      <c r="AR5" s="131">
        <v>0.98860921943971891</v>
      </c>
      <c r="AS5" s="131">
        <v>0.98519438166820972</v>
      </c>
      <c r="AT5" s="131">
        <v>0.9809925360824181</v>
      </c>
      <c r="AU5" s="131">
        <v>0.97589443793572361</v>
      </c>
      <c r="AV5" s="131">
        <v>0.96979749324435116</v>
      </c>
      <c r="AW5" s="131">
        <v>0.96261469357888141</v>
      </c>
      <c r="AX5" s="131">
        <v>0.95428591068544444</v>
      </c>
      <c r="AY5" s="131">
        <v>0.94479139523168143</v>
      </c>
      <c r="AZ5" s="131">
        <v>0.93416690214269704</v>
      </c>
      <c r="BA5" s="131">
        <v>0.92251932359117683</v>
      </c>
      <c r="BB5" s="131">
        <v>0.91004111524542808</v>
      </c>
      <c r="BC5" s="131">
        <v>0.89702126458783005</v>
      </c>
      <c r="BD5" s="131">
        <v>0.88385021951110732</v>
      </c>
      <c r="BE5" s="131">
        <v>0.87101622468636486</v>
      </c>
      <c r="BF5" s="131">
        <v>0.85909102144187288</v>
      </c>
      <c r="BG5" s="131">
        <v>0.84870389509265465</v>
      </c>
      <c r="BH5" s="131">
        <v>0.84050453196672792</v>
      </c>
      <c r="BI5" s="131">
        <v>0.83511688685782137</v>
      </c>
      <c r="BJ5" s="131">
        <v>0.83308797245867583</v>
      </c>
      <c r="BK5" s="131">
        <v>0.8348368324141533</v>
      </c>
      <c r="BL5" s="131">
        <v>0.84060964320778253</v>
      </c>
      <c r="BM5" s="131">
        <v>0.85044670309402215</v>
      </c>
      <c r="BN5" s="131">
        <v>0.86416596230228571</v>
      </c>
      <c r="BO5" s="131">
        <v>0.88136586020723495</v>
      </c>
      <c r="BP5" s="131">
        <v>0.9014478526985904</v>
      </c>
      <c r="BQ5" s="131">
        <v>0.92365652725963587</v>
      </c>
      <c r="BR5" s="131">
        <v>0.94713302402718313</v>
      </c>
      <c r="BS5" s="131">
        <v>0.97097595372948875</v>
      </c>
      <c r="BT5" s="131">
        <v>0.9943033430273569</v>
      </c>
      <c r="BU5" s="131">
        <v>1.0163093954367861</v>
      </c>
      <c r="BV5" s="131">
        <v>1.0363109218264612</v>
      </c>
      <c r="BW5" s="131">
        <v>1.0537799336996754</v>
      </c>
      <c r="BX5" s="131">
        <v>1.0683608024353992</v>
      </c>
      <c r="BY5" s="131">
        <v>1.0798722607824645</v>
      </c>
      <c r="BZ5" s="131">
        <v>1.0882961013386652</v>
      </c>
      <c r="CA5" s="131">
        <v>1.0937555388806923</v>
      </c>
      <c r="CB5" s="131">
        <v>1.0964867778573963</v>
      </c>
      <c r="CC5" s="131">
        <v>1.0968073850543074</v>
      </c>
      <c r="CD5" s="131">
        <v>1.0950847034060973</v>
      </c>
      <c r="CE5" s="131">
        <v>1.0917068903355451</v>
      </c>
      <c r="CF5" s="131">
        <v>1.0870583678728234</v>
      </c>
      <c r="CG5" s="131">
        <v>1.0815006631976649</v>
      </c>
      <c r="CH5" s="131">
        <v>1.0753588978539872</v>
      </c>
      <c r="CI5" s="131">
        <v>1.0689136149628882</v>
      </c>
      <c r="CJ5" s="131">
        <v>1.0623972429302724</v>
      </c>
      <c r="CK5" s="131">
        <v>1.0559942777846851</v>
      </c>
      <c r="CL5" s="131">
        <v>1.0498441997309427</v>
      </c>
      <c r="CM5" s="131">
        <v>1.0440461867335336</v>
      </c>
      <c r="CN5" s="131">
        <v>1.0386648099241333</v>
      </c>
      <c r="CO5" s="131">
        <v>1.0337360564985199</v>
      </c>
      <c r="CP5" s="131">
        <v>1.0292731965248829</v>
      </c>
      <c r="CQ5" s="131">
        <v>1.0252721700595764</v>
      </c>
      <c r="CR5" s="131">
        <v>1.0217163076294808</v>
      </c>
      <c r="CS5" s="131">
        <v>1.0185803048527267</v>
      </c>
      <c r="CT5" s="131">
        <v>1.0158334502398492</v>
      </c>
      <c r="CU5" s="131">
        <v>1.0134421569064314</v>
      </c>
      <c r="CV5" s="131">
        <v>1.0113718786786903</v>
      </c>
      <c r="CW5" s="131">
        <v>1.0095885041015622</v>
      </c>
      <c r="CX5" s="131">
        <v>1.0080593231367219</v>
      </c>
      <c r="CY5" s="131">
        <v>1.0067536551256953</v>
      </c>
      <c r="CZ5" s="131">
        <v>1.0056432162442572</v>
      </c>
      <c r="DA5" s="131">
        <v>1.0047022926295965</v>
      </c>
      <c r="DB5" s="131">
        <v>1.0039077732553037</v>
      </c>
      <c r="DC5" s="131">
        <v>1.0032390854454598</v>
      </c>
      <c r="DD5" s="131">
        <v>1.0026780661593349</v>
      </c>
      <c r="DE5" s="131">
        <v>1.0022087940119655</v>
      </c>
      <c r="DF5" s="131">
        <v>1.0018174003845828</v>
      </c>
      <c r="DG5" s="131">
        <v>1.0014918727685274</v>
      </c>
      <c r="DH5" s="131">
        <v>1.0012218594724693</v>
      </c>
      <c r="DI5" s="131">
        <v>1.0009984817916906</v>
      </c>
      <c r="DJ5" s="131">
        <v>1.0008141574906997</v>
      </c>
      <c r="DK5" s="131">
        <v>1.0006624378133135</v>
      </c>
      <c r="DL5" s="131">
        <v>1.0005378590639311</v>
      </c>
      <c r="DM5" s="131">
        <v>1.0004358089849146</v>
      </c>
      <c r="DN5" s="131">
        <v>1.0003524075978354</v>
      </c>
      <c r="DO5" s="131">
        <v>1.000284401811812</v>
      </c>
      <c r="DP5" s="131">
        <v>1.0002290728780934</v>
      </c>
      <c r="DQ5" s="131">
        <v>1.0001841556472515</v>
      </c>
    </row>
    <row r="6" spans="1:4598" s="104" customFormat="1" ht="17" thickBot="1" x14ac:dyDescent="0.25">
      <c r="A6" s="394">
        <v>-1.9629395935605323</v>
      </c>
      <c r="B6" s="346"/>
      <c r="C6" s="134"/>
      <c r="D6" s="134"/>
      <c r="E6" s="135" t="s">
        <v>64</v>
      </c>
      <c r="F6" s="347"/>
      <c r="G6" s="182"/>
      <c r="H6" s="340"/>
      <c r="I6" s="162"/>
      <c r="J6" s="162"/>
      <c r="K6" s="162"/>
      <c r="L6" s="552"/>
      <c r="M6" s="554"/>
      <c r="N6" s="191"/>
      <c r="O6" s="132"/>
      <c r="P6" s="538"/>
      <c r="Q6" s="475" t="s">
        <v>45</v>
      </c>
      <c r="R6" s="476"/>
      <c r="S6" s="136">
        <f>SUM(E45:XFD45)</f>
        <v>2.9659448035185623E-2</v>
      </c>
      <c r="T6" s="347"/>
      <c r="U6" s="379">
        <v>-2.9002160274709554E-7</v>
      </c>
      <c r="V6" s="131">
        <v>-5.5039420191931237E-7</v>
      </c>
      <c r="W6" s="131">
        <v>-1.0179020296313206E-6</v>
      </c>
      <c r="X6" s="131">
        <v>-1.8361712381949785E-6</v>
      </c>
      <c r="Y6" s="131">
        <v>-3.2334389398257429E-6</v>
      </c>
      <c r="Z6" s="131">
        <v>-5.56305529741636E-6</v>
      </c>
      <c r="AA6" s="131">
        <v>-9.3582984026715681E-6</v>
      </c>
      <c r="AB6" s="131">
        <v>-1.5404167479380713E-5</v>
      </c>
      <c r="AC6" s="131">
        <v>-2.4828282258079014E-5</v>
      </c>
      <c r="AD6" s="131">
        <v>-3.9211950669425961E-5</v>
      </c>
      <c r="AE6" s="131">
        <v>-6.0720790409147944E-5</v>
      </c>
      <c r="AF6" s="131">
        <v>-9.2251977460994952E-5</v>
      </c>
      <c r="AG6" s="131">
        <v>-1.3759230106191947E-4</v>
      </c>
      <c r="AH6" s="131">
        <v>-2.0157787525577724E-4</v>
      </c>
      <c r="AI6" s="131">
        <v>-2.9024281940892989E-4</v>
      </c>
      <c r="AJ6" s="131">
        <v>-4.1094074552347877E-4</v>
      </c>
      <c r="AK6" s="131">
        <v>-5.7241972228815443E-4</v>
      </c>
      <c r="AL6" s="131">
        <v>-7.8482863395552946E-4</v>
      </c>
      <c r="AM6" s="131">
        <v>-1.0596303722003721E-3</v>
      </c>
      <c r="AN6" s="131">
        <v>-1.4093946077155441E-3</v>
      </c>
      <c r="AO6" s="131">
        <v>-1.8474391937997252E-3</v>
      </c>
      <c r="AP6" s="131">
        <v>-2.3872837146806983E-3</v>
      </c>
      <c r="AQ6" s="131">
        <v>-3.0418710001642907E-3</v>
      </c>
      <c r="AR6" s="131">
        <v>-3.8225037437371909E-3</v>
      </c>
      <c r="AS6" s="131">
        <v>-4.7374374139055597E-3</v>
      </c>
      <c r="AT6" s="131">
        <v>-5.7900745941390861E-3</v>
      </c>
      <c r="AU6" s="131">
        <v>-6.9767302208235604E-3</v>
      </c>
      <c r="AV6" s="131">
        <v>-8.2839939592128532E-3</v>
      </c>
      <c r="AW6" s="131">
        <v>-9.6858148032073627E-3</v>
      </c>
      <c r="AX6" s="131">
        <v>-1.1140575284617753E-2</v>
      </c>
      <c r="AY6" s="131">
        <v>-1.258859522238733E-2</v>
      </c>
      <c r="AZ6" s="131">
        <v>-1.3950675645711274E-2</v>
      </c>
      <c r="BA6" s="131">
        <v>-1.5128412174315042E-2</v>
      </c>
      <c r="BB6" s="131">
        <v>-1.6007013485199017E-2</v>
      </c>
      <c r="BC6" s="131">
        <v>-1.6461199874594858E-2</v>
      </c>
      <c r="BD6" s="131">
        <v>-1.6364400516866752E-2</v>
      </c>
      <c r="BE6" s="131">
        <v>-1.5600931850353661E-2</v>
      </c>
      <c r="BF6" s="131">
        <v>-1.4080194782568259E-2</v>
      </c>
      <c r="BG6" s="131">
        <v>-1.1751296854514818E-2</v>
      </c>
      <c r="BH6" s="131">
        <v>-8.6160374917104432E-3</v>
      </c>
      <c r="BI6" s="131">
        <v>-4.7380331007310823E-3</v>
      </c>
      <c r="BJ6" s="131">
        <v>-2.4599915113414361E-4</v>
      </c>
      <c r="BK6" s="131">
        <v>4.6701377937830232E-3</v>
      </c>
      <c r="BL6" s="131">
        <v>9.7706362663973964E-3</v>
      </c>
      <c r="BM6" s="131">
        <v>1.4784028499508307E-2</v>
      </c>
      <c r="BN6" s="131">
        <v>1.9429985321760192E-2</v>
      </c>
      <c r="BO6" s="131">
        <v>2.3444213941257092E-2</v>
      </c>
      <c r="BP6" s="131">
        <v>2.6602259006190704E-2</v>
      </c>
      <c r="BQ6" s="131">
        <v>2.8739209409689333E-2</v>
      </c>
      <c r="BR6" s="131">
        <v>2.9762933649547192E-2</v>
      </c>
      <c r="BS6" s="131">
        <v>2.9659448035185623E-2</v>
      </c>
      <c r="BT6" s="131">
        <v>2.8490173068490332E-2</v>
      </c>
      <c r="BU6" s="131">
        <v>2.638194312999817E-2</v>
      </c>
      <c r="BV6" s="131">
        <v>2.3511518733179998E-2</v>
      </c>
      <c r="BW6" s="131">
        <v>2.0086885716766985E-2</v>
      </c>
      <c r="BX6" s="131">
        <v>1.632776666559177E-2</v>
      </c>
      <c r="BY6" s="131">
        <v>1.2447547580065006E-2</v>
      </c>
      <c r="BZ6" s="131">
        <v>8.6383268271745493E-3</v>
      </c>
      <c r="CA6" s="131">
        <v>5.0601449657932396E-3</v>
      </c>
      <c r="CB6" s="131">
        <v>1.8347780269264181E-3</v>
      </c>
      <c r="CC6" s="131">
        <v>-9.5612156615532129E-4</v>
      </c>
      <c r="CD6" s="131">
        <v>-3.2692021034281503E-3</v>
      </c>
      <c r="CE6" s="131">
        <v>-5.0948428045622801E-3</v>
      </c>
      <c r="CF6" s="131">
        <v>-6.4508647308439675E-3</v>
      </c>
      <c r="CG6" s="131">
        <v>-7.3754952119260333E-3</v>
      </c>
      <c r="CH6" s="131">
        <v>-7.9204007979994401E-3</v>
      </c>
      <c r="CI6" s="131">
        <v>-8.1443906303616011E-3</v>
      </c>
      <c r="CJ6" s="131">
        <v>-8.1081663660917298E-3</v>
      </c>
      <c r="CK6" s="131">
        <v>-7.8702887663673008E-3</v>
      </c>
      <c r="CL6" s="131">
        <v>-7.4843648979240965E-3</v>
      </c>
      <c r="CM6" s="131">
        <v>-6.9973421866387367E-3</v>
      </c>
      <c r="CN6" s="131">
        <v>-6.4487256804961228E-3</v>
      </c>
      <c r="CO6" s="131">
        <v>-5.8705060591223348E-3</v>
      </c>
      <c r="CP6" s="131">
        <v>-5.2875882608414207E-3</v>
      </c>
      <c r="CQ6" s="131">
        <v>-4.7185335034352384E-3</v>
      </c>
      <c r="CR6" s="131">
        <v>-4.1764614019715682E-3</v>
      </c>
      <c r="CS6" s="131">
        <v>-3.6699962631045833E-3</v>
      </c>
      <c r="CT6" s="131">
        <v>-3.2041771714808988E-3</v>
      </c>
      <c r="CU6" s="131">
        <v>-2.7812820377007214E-3</v>
      </c>
      <c r="CV6" s="131">
        <v>-2.4015399587475903E-3</v>
      </c>
      <c r="CW6" s="131">
        <v>-2.0637239243718707E-3</v>
      </c>
      <c r="CX6" s="131">
        <v>-1.7656277499371574E-3</v>
      </c>
      <c r="CY6" s="131">
        <v>-1.5044381873888057E-3</v>
      </c>
      <c r="CZ6" s="131">
        <v>-1.2770166289372247E-3</v>
      </c>
      <c r="DA6" s="131">
        <v>-1.080105763629611E-3</v>
      </c>
      <c r="DB6" s="131">
        <v>-9.1047589116363529E-4</v>
      </c>
      <c r="DC6" s="131">
        <v>-7.6502404676724806E-4</v>
      </c>
      <c r="DD6" s="131">
        <v>-6.4083715002235067E-4</v>
      </c>
      <c r="DE6" s="131">
        <v>-5.3522839029046553E-4</v>
      </c>
      <c r="DF6" s="131">
        <v>-4.4575419777278136E-4</v>
      </c>
      <c r="DG6" s="131">
        <v>-3.7021752042373215E-4</v>
      </c>
      <c r="DH6" s="131">
        <v>-3.0666176606455344E-4</v>
      </c>
      <c r="DI6" s="131">
        <v>-2.5335866971924027E-4</v>
      </c>
      <c r="DJ6" s="131">
        <v>-2.0879248103133937E-4</v>
      </c>
      <c r="DK6" s="131">
        <v>-1.7164219962891315E-4</v>
      </c>
      <c r="DL6" s="131">
        <v>-1.4076308050336235E-4</v>
      </c>
      <c r="DM6" s="131">
        <v>-1.1516825300765535E-4</v>
      </c>
      <c r="DN6" s="131">
        <v>-9.4011017068912478E-5</v>
      </c>
      <c r="DO6" s="131">
        <v>-7.6568175118640755E-5</v>
      </c>
      <c r="DP6" s="131">
        <v>-6.2224609531397123E-5</v>
      </c>
      <c r="DQ6" s="131">
        <v>-5.0459208764176789E-5</v>
      </c>
    </row>
    <row r="7" spans="1:4598" s="104" customFormat="1" ht="17" thickBot="1" x14ac:dyDescent="0.25">
      <c r="A7" s="394">
        <v>-1.9517290431757046</v>
      </c>
      <c r="B7" s="530" t="s">
        <v>711</v>
      </c>
      <c r="C7" s="536" t="s">
        <v>60</v>
      </c>
      <c r="D7" s="537"/>
      <c r="E7" s="32">
        <v>1</v>
      </c>
      <c r="F7" s="348"/>
      <c r="G7" s="182"/>
      <c r="H7" s="340"/>
      <c r="I7" s="162"/>
      <c r="J7" s="162"/>
      <c r="K7" s="162"/>
      <c r="L7" s="162"/>
      <c r="M7" s="162"/>
      <c r="N7" s="191"/>
      <c r="O7" s="132"/>
      <c r="P7" s="538"/>
      <c r="Q7" s="475" t="s">
        <v>46</v>
      </c>
      <c r="R7" s="476"/>
      <c r="S7" s="136">
        <f>SUM(E46:XFD46)</f>
        <v>-8.1331950955693982E-2</v>
      </c>
      <c r="T7" s="347"/>
      <c r="U7" s="379">
        <v>-5.1488766734473223E-7</v>
      </c>
      <c r="V7" s="131">
        <v>-1.0033689316994403E-6</v>
      </c>
      <c r="W7" s="131">
        <v>-1.9047897496925133E-6</v>
      </c>
      <c r="X7" s="131">
        <v>-3.5258351285471398E-6</v>
      </c>
      <c r="Y7" s="131">
        <v>-6.3691057770771171E-6</v>
      </c>
      <c r="Z7" s="131">
        <v>-1.1237066898087814E-5</v>
      </c>
      <c r="AA7" s="131">
        <v>-1.9378784988768787E-5</v>
      </c>
      <c r="AB7" s="131">
        <v>-3.2690800759120057E-5</v>
      </c>
      <c r="AC7" s="131">
        <v>-5.398368096924478E-5</v>
      </c>
      <c r="AD7" s="131">
        <v>-8.7324617143909157E-5</v>
      </c>
      <c r="AE7" s="131">
        <v>-1.38463410731832E-4</v>
      </c>
      <c r="AF7" s="131">
        <v>-2.153438897342963E-4</v>
      </c>
      <c r="AG7" s="131">
        <v>-3.2869499275835375E-4</v>
      </c>
      <c r="AH7" s="131">
        <v>-4.9268544183152794E-4</v>
      </c>
      <c r="AI7" s="131">
        <v>-7.256134436249772E-4</v>
      </c>
      <c r="AJ7" s="131">
        <v>-1.0505889033293981E-3</v>
      </c>
      <c r="AK7" s="131">
        <v>-1.4961512074043947E-3</v>
      </c>
      <c r="AL7" s="131">
        <v>-2.0967519024442357E-3</v>
      </c>
      <c r="AM7" s="131">
        <v>-2.8930196864470946E-3</v>
      </c>
      <c r="AN7" s="131">
        <v>-3.9317158354518185E-3</v>
      </c>
      <c r="AO7" s="131">
        <v>-5.2652817811852277E-3</v>
      </c>
      <c r="AP7" s="131">
        <v>-6.9508767716304799E-3</v>
      </c>
      <c r="AQ7" s="131">
        <v>-9.0488019945975662E-3</v>
      </c>
      <c r="AR7" s="131">
        <v>-1.1620208646904441E-2</v>
      </c>
      <c r="AS7" s="131">
        <v>-1.4723993871655456E-2</v>
      </c>
      <c r="AT7" s="131">
        <v>-1.8412806787204711E-2</v>
      </c>
      <c r="AU7" s="131">
        <v>-2.2728128288226315E-2</v>
      </c>
      <c r="AV7" s="131">
        <v>-2.7694468150614691E-2</v>
      </c>
      <c r="AW7" s="131">
        <v>-3.3312856756326385E-2</v>
      </c>
      <c r="AX7" s="131">
        <v>-3.9554005449970356E-2</v>
      </c>
      <c r="AY7" s="131">
        <v>-4.6351762435357026E-2</v>
      </c>
      <c r="AZ7" s="131">
        <v>-5.3597769102257095E-2</v>
      </c>
      <c r="BA7" s="131">
        <v>-6.1138465024957005E-2</v>
      </c>
      <c r="BB7" s="131">
        <v>-6.8775714913944477E-2</v>
      </c>
      <c r="BC7" s="131">
        <v>-7.6272245946673006E-2</v>
      </c>
      <c r="BD7" s="131">
        <v>-8.3362716053248728E-2</v>
      </c>
      <c r="BE7" s="131">
        <v>-8.977055916369818E-2</v>
      </c>
      <c r="BF7" s="131">
        <v>-9.5229823409263101E-2</v>
      </c>
      <c r="BG7" s="131">
        <v>-9.9510168498307836E-2</v>
      </c>
      <c r="BH7" s="131">
        <v>-0.10244222426331651</v>
      </c>
      <c r="BI7" s="131">
        <v>-0.10393986846017818</v>
      </c>
      <c r="BJ7" s="131">
        <v>-0.10401586462611476</v>
      </c>
      <c r="BK7" s="131">
        <v>-0.10278782770322564</v>
      </c>
      <c r="BL7" s="131">
        <v>-0.10047264057982716</v>
      </c>
      <c r="BM7" s="131">
        <v>-9.7369067093335385E-2</v>
      </c>
      <c r="BN7" s="131">
        <v>-9.3830114551945357E-2</v>
      </c>
      <c r="BO7" s="131">
        <v>-9.0228349087542209E-2</v>
      </c>
      <c r="BP7" s="131">
        <v>-8.6918535568878311E-2</v>
      </c>
      <c r="BQ7" s="131">
        <v>-8.4202429417771618E-2</v>
      </c>
      <c r="BR7" s="131">
        <v>-8.2300205876162658E-2</v>
      </c>
      <c r="BS7" s="131">
        <v>-8.1331950955693982E-2</v>
      </c>
      <c r="BT7" s="131">
        <v>-8.1311074626634353E-2</v>
      </c>
      <c r="BU7" s="131">
        <v>-8.2149742837524201E-2</v>
      </c>
      <c r="BV7" s="131">
        <v>-8.3674778065489716E-2</v>
      </c>
      <c r="BW7" s="131">
        <v>-8.5651214472685033E-2</v>
      </c>
      <c r="BX7" s="131">
        <v>-8.7809980562996395E-2</v>
      </c>
      <c r="BY7" s="131">
        <v>-8.987606720517291E-2</v>
      </c>
      <c r="BZ7" s="131">
        <v>-9.1593957927493308E-2</v>
      </c>
      <c r="CA7" s="131">
        <v>-9.2747905194599287E-2</v>
      </c>
      <c r="CB7" s="131">
        <v>-9.3175643608998535E-2</v>
      </c>
      <c r="CC7" s="131">
        <v>-9.2775151955762136E-2</v>
      </c>
      <c r="CD7" s="131">
        <v>-9.1504957984675311E-2</v>
      </c>
      <c r="CE7" s="131">
        <v>-8.9379123730637708E-2</v>
      </c>
      <c r="CF7" s="131">
        <v>-8.6458414841210807E-2</v>
      </c>
      <c r="CG7" s="131">
        <v>-8.2839256652246576E-2</v>
      </c>
      <c r="CH7" s="131">
        <v>-7.8641961853785983E-2</v>
      </c>
      <c r="CI7" s="131">
        <v>-7.3999448598468867E-2</v>
      </c>
      <c r="CJ7" s="131">
        <v>-6.9047326443400267E-2</v>
      </c>
      <c r="CK7" s="131">
        <v>-6.3915874349852353E-2</v>
      </c>
      <c r="CL7" s="131">
        <v>-5.8724117667927088E-2</v>
      </c>
      <c r="CM7" s="131">
        <v>-5.3575958515479666E-2</v>
      </c>
      <c r="CN7" s="131">
        <v>-4.8558137796094657E-2</v>
      </c>
      <c r="CO7" s="131">
        <v>-4.3739705218335437E-2</v>
      </c>
      <c r="CP7" s="131">
        <v>-3.9172635011855562E-2</v>
      </c>
      <c r="CQ7" s="131">
        <v>-3.4893234030048285E-2</v>
      </c>
      <c r="CR7" s="131">
        <v>-3.0924029201828827E-2</v>
      </c>
      <c r="CS7" s="131">
        <v>-2.727587815546987E-2</v>
      </c>
      <c r="CT7" s="131">
        <v>-2.3950108660852086E-2</v>
      </c>
      <c r="CU7" s="131">
        <v>-2.0940551200762884E-2</v>
      </c>
      <c r="CV7" s="131">
        <v>-1.8235379641837062E-2</v>
      </c>
      <c r="CW7" s="131">
        <v>-1.5818715463369527E-2</v>
      </c>
      <c r="CX7" s="131">
        <v>-1.3671981086145018E-2</v>
      </c>
      <c r="CY7" s="131">
        <v>-1.1775008513058821E-2</v>
      </c>
      <c r="CZ7" s="131">
        <v>-1.0106922362579672E-2</v>
      </c>
      <c r="DA7" s="131">
        <v>-8.6468232442388233E-3</v>
      </c>
      <c r="DB7" s="131">
        <v>-7.3742999925619059E-3</v>
      </c>
      <c r="DC7" s="131">
        <v>-6.2697989894384288E-3</v>
      </c>
      <c r="DD7" s="131">
        <v>-5.3148768015268359E-3</v>
      </c>
      <c r="DE7" s="131">
        <v>-4.4923594704466517E-3</v>
      </c>
      <c r="DF7" s="131">
        <v>-3.7864285859092565E-3</v>
      </c>
      <c r="DG7" s="131">
        <v>-3.1826511019768184E-3</v>
      </c>
      <c r="DH7" s="131">
        <v>-2.6679669256623427E-3</v>
      </c>
      <c r="DI7" s="131">
        <v>-2.2306457098966296E-3</v>
      </c>
      <c r="DJ7" s="131">
        <v>-1.8602220463999589E-3</v>
      </c>
      <c r="DK7" s="131">
        <v>-1.547416365658458E-3</v>
      </c>
      <c r="DL7" s="131">
        <v>-1.2840472785173227E-3</v>
      </c>
      <c r="DM7" s="131">
        <v>-1.0629397967773188E-3</v>
      </c>
      <c r="DN7" s="131">
        <v>-8.7783280812226132E-4</v>
      </c>
      <c r="DO7" s="131">
        <v>-7.232883164788982E-4</v>
      </c>
      <c r="DP7" s="131">
        <v>-5.9460425998220676E-4</v>
      </c>
      <c r="DQ7" s="131">
        <v>-4.877321574656377E-4</v>
      </c>
    </row>
    <row r="8" spans="1:4598" s="104" customFormat="1" ht="17" thickBot="1" x14ac:dyDescent="0.25">
      <c r="A8" s="104">
        <v>-1.907590111493723</v>
      </c>
      <c r="B8" s="531"/>
      <c r="C8" s="487" t="s">
        <v>62</v>
      </c>
      <c r="D8" s="488"/>
      <c r="E8" s="33">
        <v>1</v>
      </c>
      <c r="F8" s="349"/>
      <c r="G8" s="182"/>
      <c r="H8" s="340"/>
      <c r="I8" s="162"/>
      <c r="J8" s="162"/>
      <c r="K8" s="162"/>
      <c r="L8" s="162"/>
      <c r="M8" s="162"/>
      <c r="N8" s="191"/>
      <c r="O8" s="132"/>
      <c r="P8" s="538"/>
      <c r="Q8" s="475" t="s">
        <v>47</v>
      </c>
      <c r="R8" s="476"/>
      <c r="S8" s="136">
        <f t="shared" ref="S8:S9" si="0">SUM(E47:XFD47)</f>
        <v>-1.6139868873907046E-2</v>
      </c>
      <c r="T8" s="347"/>
      <c r="U8" s="379">
        <v>5.9913543087134716E-8</v>
      </c>
      <c r="V8" s="131">
        <v>1.1688702543291374E-7</v>
      </c>
      <c r="W8" s="131">
        <v>2.2215852049651994E-7</v>
      </c>
      <c r="X8" s="131">
        <v>4.1172404289558327E-7</v>
      </c>
      <c r="Y8" s="131">
        <v>7.4468048860651264E-7</v>
      </c>
      <c r="Z8" s="131">
        <v>1.3155633741811362E-6</v>
      </c>
      <c r="AA8" s="131">
        <v>2.2718191047548989E-6</v>
      </c>
      <c r="AB8" s="131">
        <v>3.8378096016850975E-6</v>
      </c>
      <c r="AC8" s="131">
        <v>6.3467959524187939E-6</v>
      </c>
      <c r="AD8" s="131">
        <v>1.0282240214049228E-5</v>
      </c>
      <c r="AE8" s="131">
        <v>1.6329441743851739E-5</v>
      </c>
      <c r="AF8" s="131">
        <v>2.543793417488597E-5</v>
      </c>
      <c r="AG8" s="131">
        <v>3.8894175817959642E-5</v>
      </c>
      <c r="AH8" s="131">
        <v>5.8402860358776065E-5</v>
      </c>
      <c r="AI8" s="131">
        <v>8.6173678180936705E-5</v>
      </c>
      <c r="AJ8" s="131">
        <v>1.2500862175534639E-4</v>
      </c>
      <c r="AK8" s="131">
        <v>1.7838301356314453E-4</v>
      </c>
      <c r="AL8" s="131">
        <v>2.505113835437718E-4</v>
      </c>
      <c r="AM8" s="131">
        <v>3.4638710902211276E-4</v>
      </c>
      <c r="AN8" s="131">
        <v>4.7178221127457186E-4</v>
      </c>
      <c r="AO8" s="131">
        <v>6.3319060007817449E-4</v>
      </c>
      <c r="AP8" s="131">
        <v>8.3769400845706116E-4</v>
      </c>
      <c r="AQ8" s="131">
        <v>1.092724605515568E-3</v>
      </c>
      <c r="AR8" s="131">
        <v>1.4056920211274974E-3</v>
      </c>
      <c r="AS8" s="131">
        <v>1.7834364503277488E-3</v>
      </c>
      <c r="AT8" s="131">
        <v>2.2314663469460002E-3</v>
      </c>
      <c r="AU8" s="131">
        <v>2.7529435285197357E-3</v>
      </c>
      <c r="AV8" s="131">
        <v>3.3473964030149897E-3</v>
      </c>
      <c r="AW8" s="131">
        <v>4.0091798569275054E-3</v>
      </c>
      <c r="AX8" s="131">
        <v>4.7257623281177896E-3</v>
      </c>
      <c r="AY8" s="131">
        <v>5.4760055613331205E-3</v>
      </c>
      <c r="AZ8" s="131">
        <v>6.2287008258808283E-3</v>
      </c>
      <c r="BA8" s="131">
        <v>6.9417171082781937E-3</v>
      </c>
      <c r="BB8" s="131">
        <v>7.5621732934102034E-3</v>
      </c>
      <c r="BC8" s="131">
        <v>8.028035381248768E-3</v>
      </c>
      <c r="BD8" s="131">
        <v>8.2714344921479138E-3</v>
      </c>
      <c r="BE8" s="131">
        <v>8.2237909695599114E-3</v>
      </c>
      <c r="BF8" s="131">
        <v>7.822528622733374E-3</v>
      </c>
      <c r="BG8" s="131">
        <v>7.0188143467917047E-3</v>
      </c>
      <c r="BH8" s="131">
        <v>5.7854299099108237E-3</v>
      </c>
      <c r="BI8" s="131">
        <v>4.1236540559533436E-3</v>
      </c>
      <c r="BJ8" s="131">
        <v>2.0679758657427515E-3</v>
      </c>
      <c r="BK8" s="131">
        <v>-3.1238227821399692E-4</v>
      </c>
      <c r="BL8" s="131">
        <v>-2.9157827168371023E-3</v>
      </c>
      <c r="BM8" s="131">
        <v>-5.6144477430064843E-3</v>
      </c>
      <c r="BN8" s="131">
        <v>-8.2642025965919269E-3</v>
      </c>
      <c r="BO8" s="131">
        <v>-1.0716634248357684E-2</v>
      </c>
      <c r="BP8" s="131">
        <v>-1.2832205159460753E-2</v>
      </c>
      <c r="BQ8" s="131">
        <v>-1.4492687083365971E-2</v>
      </c>
      <c r="BR8" s="131">
        <v>-1.5611373502858465E-2</v>
      </c>
      <c r="BS8" s="131">
        <v>-1.6139868873907046E-2</v>
      </c>
      <c r="BT8" s="131">
        <v>-1.6070769162103298E-2</v>
      </c>
      <c r="BU8" s="131">
        <v>-1.5436141685625949E-2</v>
      </c>
      <c r="BV8" s="131">
        <v>-1.4302276361507632E-2</v>
      </c>
      <c r="BW8" s="131">
        <v>-1.2761623759072312E-2</v>
      </c>
      <c r="BX8" s="131">
        <v>-1.0923098489362244E-2</v>
      </c>
      <c r="BY8" s="131">
        <v>-8.9019895334879126E-3</v>
      </c>
      <c r="BZ8" s="131">
        <v>-6.8106000039969208E-3</v>
      </c>
      <c r="CA8" s="131">
        <v>-4.7504838446082095E-3</v>
      </c>
      <c r="CB8" s="131">
        <v>-2.8068173978071168E-3</v>
      </c>
      <c r="CC8" s="131">
        <v>-1.045101981490465E-3</v>
      </c>
      <c r="CD8" s="131">
        <v>4.899082627188335E-4</v>
      </c>
      <c r="CE8" s="131">
        <v>1.7733860458290229E-3</v>
      </c>
      <c r="CF8" s="131">
        <v>2.7981876309344997E-3</v>
      </c>
      <c r="CG8" s="131">
        <v>3.571704310289664E-3</v>
      </c>
      <c r="CH8" s="131">
        <v>4.1123009760303669E-3</v>
      </c>
      <c r="CI8" s="131">
        <v>4.4457568604124066E-3</v>
      </c>
      <c r="CJ8" s="131">
        <v>4.6020181028270275E-3</v>
      </c>
      <c r="CK8" s="131">
        <v>4.612459362640639E-3</v>
      </c>
      <c r="CL8" s="131">
        <v>4.5077483700896107E-3</v>
      </c>
      <c r="CM8" s="131">
        <v>4.3163232336816838E-3</v>
      </c>
      <c r="CN8" s="131">
        <v>4.0634319676963043E-3</v>
      </c>
      <c r="CO8" s="131">
        <v>3.7706469842063942E-3</v>
      </c>
      <c r="CP8" s="131">
        <v>3.4557510577688556E-3</v>
      </c>
      <c r="CQ8" s="131">
        <v>3.1328907589004001E-3</v>
      </c>
      <c r="CR8" s="131">
        <v>2.8129034099421621E-3</v>
      </c>
      <c r="CS8" s="131">
        <v>2.503739540164451E-3</v>
      </c>
      <c r="CT8" s="131">
        <v>2.2109208312055297E-3</v>
      </c>
      <c r="CU8" s="131">
        <v>1.9379909717379649E-3</v>
      </c>
      <c r="CV8" s="131">
        <v>1.6869320494802657E-3</v>
      </c>
      <c r="CW8" s="131">
        <v>1.4585313319386908E-3</v>
      </c>
      <c r="CX8" s="131">
        <v>1.2526923899916394E-3</v>
      </c>
      <c r="CY8" s="131">
        <v>1.0686907704094105E-3</v>
      </c>
      <c r="CZ8" s="131">
        <v>9.0537830619628196E-4</v>
      </c>
      <c r="DA8" s="131">
        <v>7.6134221726508779E-4</v>
      </c>
      <c r="DB8" s="131">
        <v>6.3502592313979637E-4</v>
      </c>
      <c r="DC8" s="131">
        <v>5.2481841198582027E-4</v>
      </c>
      <c r="DD8" s="131">
        <v>4.2911843721633695E-4</v>
      </c>
      <c r="DE8" s="131">
        <v>3.4637899894127133E-4</v>
      </c>
      <c r="DF8" s="131">
        <v>2.7513668355557373E-4</v>
      </c>
      <c r="DG8" s="131">
        <v>2.1402958526644221E-4</v>
      </c>
      <c r="DH8" s="131">
        <v>1.6180677405001377E-4</v>
      </c>
      <c r="DI8" s="131">
        <v>1.173316280239315E-4</v>
      </c>
      <c r="DJ8" s="131">
        <v>7.9580816533241297E-5</v>
      </c>
      <c r="DK8" s="131">
        <v>4.7640293957370433E-5</v>
      </c>
      <c r="DL8" s="131">
        <v>2.0699328768270311E-5</v>
      </c>
      <c r="DM8" s="131">
        <v>-1.9566681438206585E-6</v>
      </c>
      <c r="DN8" s="131">
        <v>-2.0953952320285768E-5</v>
      </c>
      <c r="DO8" s="131">
        <v>-3.6838481542688511E-5</v>
      </c>
      <c r="DP8" s="131">
        <v>-5.0083885251732407E-5</v>
      </c>
      <c r="DQ8" s="131">
        <v>-6.1099163083748118E-5</v>
      </c>
    </row>
    <row r="9" spans="1:4598" s="104" customFormat="1" ht="17" thickBot="1" x14ac:dyDescent="0.25">
      <c r="A9" s="394">
        <v>-1.8989859491264247</v>
      </c>
      <c r="B9" s="531"/>
      <c r="C9" s="536" t="s">
        <v>61</v>
      </c>
      <c r="D9" s="537"/>
      <c r="E9" s="32">
        <v>0</v>
      </c>
      <c r="F9" s="349"/>
      <c r="G9" s="182"/>
      <c r="H9" s="340"/>
      <c r="I9" s="162"/>
      <c r="J9" s="162"/>
      <c r="K9" s="162"/>
      <c r="L9" s="162"/>
      <c r="M9" s="162"/>
      <c r="N9" s="191"/>
      <c r="O9" s="132"/>
      <c r="P9" s="538"/>
      <c r="Q9" s="477" t="s">
        <v>48</v>
      </c>
      <c r="R9" s="478"/>
      <c r="S9" s="136">
        <f t="shared" si="0"/>
        <v>-8.6676331700936471E-2</v>
      </c>
      <c r="T9" s="347"/>
      <c r="U9" s="379">
        <v>-4.8668440882909462E-8</v>
      </c>
      <c r="V9" s="131">
        <v>-9.7228594423387354E-8</v>
      </c>
      <c r="W9" s="131">
        <v>-1.8927386976048225E-7</v>
      </c>
      <c r="X9" s="131">
        <v>-3.59362516372758E-7</v>
      </c>
      <c r="Y9" s="131">
        <v>-6.6603724885706179E-7</v>
      </c>
      <c r="Z9" s="131">
        <v>-1.2060069844051099E-6</v>
      </c>
      <c r="AA9" s="131">
        <v>-2.1351741449819612E-6</v>
      </c>
      <c r="AB9" s="131">
        <v>-3.6989724712389961E-6</v>
      </c>
      <c r="AC9" s="131">
        <v>-6.2749705234542849E-6</v>
      </c>
      <c r="AD9" s="131">
        <v>-1.0431112497597848E-5</v>
      </c>
      <c r="AE9" s="131">
        <v>-1.7003223039423065E-5</v>
      </c>
      <c r="AF9" s="131">
        <v>-2.7195392372916632E-5</v>
      </c>
      <c r="AG9" s="131">
        <v>-4.2706470695978573E-5</v>
      </c>
      <c r="AH9" s="131">
        <v>-6.5885030343120239E-5</v>
      </c>
      <c r="AI9" s="131">
        <v>-9.991371611367383E-5</v>
      </c>
      <c r="AJ9" s="131">
        <v>-1.4902185214139585E-4</v>
      </c>
      <c r="AK9" s="131">
        <v>-2.1872251379067401E-4</v>
      </c>
      <c r="AL9" s="131">
        <v>-3.1606707089714033E-4</v>
      </c>
      <c r="AM9" s="131">
        <v>-4.4990658580417803E-4</v>
      </c>
      <c r="AN9" s="131">
        <v>-6.311455671478718E-4</v>
      </c>
      <c r="AO9" s="131">
        <v>-8.7296961112946195E-4</v>
      </c>
      <c r="AP9" s="131">
        <v>-1.1910245603498199E-3</v>
      </c>
      <c r="AQ9" s="131">
        <v>-1.6035210946629744E-3</v>
      </c>
      <c r="AR9" s="131">
        <v>-2.1312352407857095E-3</v>
      </c>
      <c r="AS9" s="131">
        <v>-2.7973723109659997E-3</v>
      </c>
      <c r="AT9" s="131">
        <v>-3.6272596279949185E-3</v>
      </c>
      <c r="AU9" s="131">
        <v>-4.6478328413006266E-3</v>
      </c>
      <c r="AV9" s="131">
        <v>-5.8868830492186481E-3</v>
      </c>
      <c r="AW9" s="131">
        <v>-7.3720393174655239E-3</v>
      </c>
      <c r="AX9" s="131">
        <v>-9.1294759576345426E-3</v>
      </c>
      <c r="AY9" s="131">
        <v>-1.1182358396547543E-2</v>
      </c>
      <c r="AZ9" s="131">
        <v>-1.3549076837749285E-2</v>
      </c>
      <c r="BA9" s="131">
        <v>-1.6241362157557483E-2</v>
      </c>
      <c r="BB9" s="131">
        <v>-1.9262429279686886E-2</v>
      </c>
      <c r="BC9" s="131">
        <v>-2.2605341599349543E-2</v>
      </c>
      <c r="BD9" s="131">
        <v>-2.6251824703031171E-2</v>
      </c>
      <c r="BE9" s="131">
        <v>-3.0171766181767992E-2</v>
      </c>
      <c r="BF9" s="131">
        <v>-3.4323609952820022E-2</v>
      </c>
      <c r="BG9" s="131">
        <v>-3.8655782495775504E-2</v>
      </c>
      <c r="BH9" s="131">
        <v>-4.3109177196473961E-2</v>
      </c>
      <c r="BI9" s="131">
        <v>-4.762058358087988E-2</v>
      </c>
      <c r="BJ9" s="131">
        <v>-5.2126801351157236E-2</v>
      </c>
      <c r="BK9" s="131">
        <v>-5.6569050919933E-2</v>
      </c>
      <c r="BL9" s="131">
        <v>-6.0897208747710208E-2</v>
      </c>
      <c r="BM9" s="131">
        <v>-6.5073377428965434E-2</v>
      </c>
      <c r="BN9" s="131">
        <v>-6.9074356230736683E-2</v>
      </c>
      <c r="BO9" s="131">
        <v>-7.2892702795174499E-2</v>
      </c>
      <c r="BP9" s="131">
        <v>-7.6536252503703189E-2</v>
      </c>
      <c r="BQ9" s="131">
        <v>-8.0026160031111487E-2</v>
      </c>
      <c r="BR9" s="131">
        <v>-8.3393715155498122E-2</v>
      </c>
      <c r="BS9" s="131">
        <v>-8.6676331700936471E-2</v>
      </c>
      <c r="BT9" s="131">
        <v>-8.9913192760274874E-2</v>
      </c>
      <c r="BU9" s="131">
        <v>-9.314104746150878E-2</v>
      </c>
      <c r="BV9" s="131">
        <v>-9.6390598021704119E-2</v>
      </c>
      <c r="BW9" s="131">
        <v>-9.9683805470878906E-2</v>
      </c>
      <c r="BX9" s="131">
        <v>-0.10303230035740614</v>
      </c>
      <c r="BY9" s="131">
        <v>-0.10643693554156453</v>
      </c>
      <c r="BZ9" s="131">
        <v>-0.10988838417829615</v>
      </c>
      <c r="CA9" s="131">
        <v>-0.11336858374631886</v>
      </c>
      <c r="CB9" s="131">
        <v>-0.11685276543743847</v>
      </c>
      <c r="CC9" s="131">
        <v>-0.12031178857883029</v>
      </c>
      <c r="CD9" s="131">
        <v>-0.1237145167883031</v>
      </c>
      <c r="CE9" s="131">
        <v>-0.1270300167566783</v>
      </c>
      <c r="CF9" s="131">
        <v>-0.13022942057350717</v>
      </c>
      <c r="CG9" s="131">
        <v>-0.13328735736478631</v>
      </c>
      <c r="CH9" s="131">
        <v>-0.13618292062912296</v>
      </c>
      <c r="CI9" s="131">
        <v>-0.13890018777895943</v>
      </c>
      <c r="CJ9" s="131">
        <v>-0.14142834474254562</v>
      </c>
      <c r="CK9" s="131">
        <v>-0.14376149043869474</v>
      </c>
      <c r="CL9" s="131">
        <v>-0.14589820487566574</v>
      </c>
      <c r="CM9" s="131">
        <v>-0.14784096315292916</v>
      </c>
      <c r="CN9" s="131">
        <v>-0.14959546887418002</v>
      </c>
      <c r="CO9" s="131">
        <v>-0.15116996746320144</v>
      </c>
      <c r="CP9" s="131">
        <v>-0.15257458521968559</v>
      </c>
      <c r="CQ9" s="131">
        <v>-0.15382072563304128</v>
      </c>
      <c r="CR9" s="131">
        <v>-0.15492054178699011</v>
      </c>
      <c r="CS9" s="131">
        <v>-0.15588649332694393</v>
      </c>
      <c r="CT9" s="131">
        <v>-0.15673098863411758</v>
      </c>
      <c r="CU9" s="131">
        <v>-0.15746610742575279</v>
      </c>
      <c r="CV9" s="131">
        <v>-0.15810339564888298</v>
      </c>
      <c r="CW9" s="131">
        <v>-0.15865372283465481</v>
      </c>
      <c r="CX9" s="131">
        <v>-0.159127191600764</v>
      </c>
      <c r="CY9" s="131">
        <v>-0.15953308934184363</v>
      </c>
      <c r="CZ9" s="131">
        <v>-0.15987987300985501</v>
      </c>
      <c r="DA9" s="131">
        <v>-0.16017517901194858</v>
      </c>
      <c r="DB9" s="131">
        <v>-0.16042585146603922</v>
      </c>
      <c r="DC9" s="131">
        <v>-0.16063798323887532</v>
      </c>
      <c r="DD9" s="131">
        <v>-0.1608169652792972</v>
      </c>
      <c r="DE9" s="131">
        <v>-0.16096754071670683</v>
      </c>
      <c r="DF9" s="131">
        <v>-0.16109386101089759</v>
      </c>
      <c r="DG9" s="131">
        <v>-0.1611995421182128</v>
      </c>
      <c r="DH9" s="131">
        <v>-0.16128771919249413</v>
      </c>
      <c r="DI9" s="131">
        <v>-0.16136109878302596</v>
      </c>
      <c r="DJ9" s="131">
        <v>-0.16142200784207522</v>
      </c>
      <c r="DK9" s="131">
        <v>-0.16147243912723824</v>
      </c>
      <c r="DL9" s="131">
        <v>-0.16151409279259266</v>
      </c>
      <c r="DM9" s="131">
        <v>-0.16154841411965715</v>
      </c>
      <c r="DN9" s="131">
        <v>-0.16157662745454365</v>
      </c>
      <c r="DO9" s="131">
        <v>-0.1615997664998825</v>
      </c>
      <c r="DP9" s="131">
        <v>-0.16161870116604823</v>
      </c>
      <c r="DQ9" s="131">
        <v>-0.16163416122160532</v>
      </c>
    </row>
    <row r="10" spans="1:4598" s="370" customFormat="1" ht="17" thickBot="1" x14ac:dyDescent="0.25">
      <c r="A10" s="104">
        <v>-1.8952502488751981</v>
      </c>
      <c r="B10" s="532"/>
      <c r="C10" s="487" t="s">
        <v>63</v>
      </c>
      <c r="D10" s="488"/>
      <c r="E10" s="33">
        <v>0</v>
      </c>
      <c r="F10" s="350"/>
      <c r="G10" s="321"/>
      <c r="H10" s="331"/>
      <c r="I10" s="107"/>
      <c r="J10" s="107"/>
      <c r="K10" s="107"/>
      <c r="L10" s="362"/>
      <c r="M10" s="362"/>
      <c r="N10" s="363"/>
      <c r="O10" s="132"/>
      <c r="P10" s="538"/>
      <c r="Q10" s="479"/>
      <c r="R10" s="479"/>
      <c r="S10" s="376"/>
      <c r="T10" s="347"/>
      <c r="U10" s="380"/>
      <c r="V10" s="137"/>
      <c r="W10" s="137"/>
      <c r="X10" s="137"/>
      <c r="Y10" s="137"/>
      <c r="Z10" s="137"/>
      <c r="AA10" s="137"/>
      <c r="AB10" s="137"/>
      <c r="AC10" s="137"/>
      <c r="AD10" s="137"/>
      <c r="AE10" s="137"/>
      <c r="AF10" s="137"/>
      <c r="AG10" s="137"/>
      <c r="AH10" s="137"/>
      <c r="AI10" s="137"/>
      <c r="AJ10" s="137"/>
      <c r="AK10" s="137"/>
      <c r="AL10" s="137"/>
      <c r="AM10" s="137"/>
      <c r="AN10" s="137"/>
      <c r="AO10" s="137"/>
      <c r="AP10" s="137"/>
      <c r="AQ10" s="137"/>
      <c r="AR10" s="137"/>
      <c r="AS10" s="137"/>
      <c r="AT10" s="137"/>
      <c r="AU10" s="137"/>
      <c r="AV10" s="137"/>
      <c r="AW10" s="137"/>
      <c r="AX10" s="137"/>
      <c r="AY10" s="137"/>
      <c r="AZ10" s="137"/>
      <c r="BA10" s="137"/>
      <c r="BB10" s="137"/>
      <c r="BC10" s="137"/>
      <c r="BD10" s="137"/>
      <c r="BE10" s="137"/>
      <c r="BF10" s="137"/>
      <c r="BG10" s="137"/>
      <c r="BH10" s="137"/>
      <c r="BI10" s="137"/>
      <c r="BJ10" s="137"/>
      <c r="BK10" s="137"/>
      <c r="BL10" s="137"/>
      <c r="BM10" s="137"/>
      <c r="BN10" s="137"/>
      <c r="BO10" s="137"/>
      <c r="BP10" s="137"/>
      <c r="BQ10" s="137"/>
      <c r="BR10" s="137"/>
      <c r="BS10" s="137"/>
      <c r="BT10" s="137"/>
      <c r="BU10" s="137"/>
      <c r="BV10" s="137"/>
      <c r="BW10" s="137"/>
      <c r="BX10" s="137"/>
      <c r="BY10" s="137"/>
      <c r="BZ10" s="137"/>
      <c r="CA10" s="137"/>
      <c r="CB10" s="137"/>
      <c r="CC10" s="137"/>
      <c r="CD10" s="137"/>
      <c r="CE10" s="137"/>
      <c r="CF10" s="137"/>
      <c r="CG10" s="137"/>
      <c r="CH10" s="137"/>
      <c r="CI10" s="137"/>
      <c r="CJ10" s="137"/>
      <c r="CK10" s="137"/>
      <c r="CL10" s="137"/>
      <c r="CM10" s="137"/>
      <c r="CN10" s="137"/>
      <c r="CO10" s="137"/>
      <c r="CP10" s="137"/>
      <c r="CQ10" s="137"/>
      <c r="CR10" s="137"/>
      <c r="CS10" s="137"/>
      <c r="CT10" s="137"/>
      <c r="CU10" s="137"/>
      <c r="CV10" s="137"/>
      <c r="CW10" s="137"/>
      <c r="CX10" s="137"/>
      <c r="CY10" s="137"/>
      <c r="CZ10" s="137"/>
      <c r="DA10" s="137"/>
      <c r="DB10" s="137"/>
      <c r="DC10" s="137"/>
      <c r="DD10" s="137"/>
      <c r="DE10" s="137"/>
      <c r="DF10" s="137"/>
      <c r="DG10" s="137"/>
      <c r="DH10" s="137"/>
      <c r="DI10" s="137"/>
      <c r="DJ10" s="137"/>
      <c r="DK10" s="137"/>
      <c r="DL10" s="137"/>
      <c r="DM10" s="137"/>
      <c r="DN10" s="137"/>
      <c r="DO10" s="137"/>
      <c r="DP10" s="137"/>
      <c r="DQ10" s="137"/>
    </row>
    <row r="11" spans="1:4598" s="370" customFormat="1" ht="25" thickBot="1" x14ac:dyDescent="0.25">
      <c r="A11" s="394">
        <v>-1.8729144319981734</v>
      </c>
      <c r="B11" s="528" t="s">
        <v>121</v>
      </c>
      <c r="C11" s="536" t="s">
        <v>117</v>
      </c>
      <c r="D11" s="537"/>
      <c r="E11" s="32">
        <v>1</v>
      </c>
      <c r="F11" s="348"/>
      <c r="G11" s="185"/>
      <c r="H11" s="525" t="s">
        <v>159</v>
      </c>
      <c r="I11" s="526"/>
      <c r="J11" s="526"/>
      <c r="K11" s="526"/>
      <c r="L11" s="338"/>
      <c r="M11" s="338"/>
      <c r="N11" s="339"/>
      <c r="O11" s="132"/>
      <c r="P11" s="550"/>
      <c r="Q11" s="477" t="s">
        <v>148</v>
      </c>
      <c r="R11" s="478"/>
      <c r="S11" s="136">
        <f>SUM(E42:XFD42)</f>
        <v>-208.56552658300359</v>
      </c>
      <c r="T11" s="381"/>
      <c r="U11" s="382">
        <v>-1005.3047030809886</v>
      </c>
      <c r="V11" s="137">
        <v>-982.90474154042386</v>
      </c>
      <c r="W11" s="137">
        <v>-960.50481631526407</v>
      </c>
      <c r="X11" s="137">
        <v>-938.10495808437565</v>
      </c>
      <c r="Y11" s="137">
        <v>-915.70522042354514</v>
      </c>
      <c r="Z11" s="137">
        <v>-893.30569462791198</v>
      </c>
      <c r="AA11" s="137">
        <v>-870.90653261800094</v>
      </c>
      <c r="AB11" s="137">
        <v>-848.50798145183376</v>
      </c>
      <c r="AC11" s="137">
        <v>-826.11043404937936</v>
      </c>
      <c r="AD11" s="137">
        <v>-803.71450195274974</v>
      </c>
      <c r="AE11" s="137">
        <v>-781.32111722742661</v>
      </c>
      <c r="AF11" s="137">
        <v>-758.93167184907043</v>
      </c>
      <c r="AG11" s="137">
        <v>-736.54820396960235</v>
      </c>
      <c r="AH11" s="137">
        <v>-714.17364113156452</v>
      </c>
      <c r="AI11" s="137">
        <v>-691.81211059111979</v>
      </c>
      <c r="AJ11" s="137">
        <v>-669.46932619692006</v>
      </c>
      <c r="AK11" s="137">
        <v>-647.15305954360019</v>
      </c>
      <c r="AL11" s="137">
        <v>-624.87370019484774</v>
      </c>
      <c r="AM11" s="137">
        <v>-602.64490551989559</v>
      </c>
      <c r="AN11" s="137">
        <v>-580.48433503227125</v>
      </c>
      <c r="AO11" s="137">
        <v>-558.41445703241698</v>
      </c>
      <c r="AP11" s="137">
        <v>-536.46340683447045</v>
      </c>
      <c r="AQ11" s="137">
        <v>-514.66586589739597</v>
      </c>
      <c r="AR11" s="137">
        <v>-493.06391975779343</v>
      </c>
      <c r="AS11" s="137">
        <v>-471.70783976011103</v>
      </c>
      <c r="AT11" s="137">
        <v>-450.65671930147255</v>
      </c>
      <c r="AU11" s="137">
        <v>-429.97888009378431</v>
      </c>
      <c r="AV11" s="137">
        <v>-409.75194890546686</v>
      </c>
      <c r="AW11" s="137">
        <v>-390.0624925379409</v>
      </c>
      <c r="AX11" s="137">
        <v>-371.00509192007485</v>
      </c>
      <c r="AY11" s="137">
        <v>-352.68074002774324</v>
      </c>
      <c r="AZ11" s="137">
        <v>-335.19446859981997</v>
      </c>
      <c r="BA11" s="137">
        <v>-318.6521508522145</v>
      </c>
      <c r="BB11" s="137">
        <v>-303.15649519759927</v>
      </c>
      <c r="BC11" s="137">
        <v>-288.80233803952194</v>
      </c>
      <c r="BD11" s="137">
        <v>-275.67145597344228</v>
      </c>
      <c r="BE11" s="137">
        <v>-263.82723650230241</v>
      </c>
      <c r="BF11" s="137">
        <v>-253.30965294614231</v>
      </c>
      <c r="BG11" s="137">
        <v>-244.13106133438589</v>
      </c>
      <c r="BH11" s="137">
        <v>-236.27335307871664</v>
      </c>
      <c r="BI11" s="137">
        <v>-229.68694122773465</v>
      </c>
      <c r="BJ11" s="137">
        <v>-224.2919247615001</v>
      </c>
      <c r="BK11" s="137">
        <v>-219.98157310733288</v>
      </c>
      <c r="BL11" s="137">
        <v>-216.62802443567165</v>
      </c>
      <c r="BM11" s="137">
        <v>-214.08983025523571</v>
      </c>
      <c r="BN11" s="137">
        <v>-212.22074491713158</v>
      </c>
      <c r="BO11" s="137">
        <v>-210.87898958491957</v>
      </c>
      <c r="BP11" s="137">
        <v>-209.93614448413595</v>
      </c>
      <c r="BQ11" s="137">
        <v>-209.28485427281731</v>
      </c>
      <c r="BR11" s="137">
        <v>-208.84466500497504</v>
      </c>
      <c r="BS11" s="137">
        <v>-208.56552658300359</v>
      </c>
      <c r="BT11" s="137">
        <v>-208.42875865075905</v>
      </c>
      <c r="BU11" s="137">
        <v>-208.4455515344747</v>
      </c>
      <c r="BV11" s="137">
        <v>-208.65331934258859</v>
      </c>
      <c r="BW11" s="137">
        <v>-209.11040949393339</v>
      </c>
      <c r="BX11" s="137">
        <v>-209.88978334124863</v>
      </c>
      <c r="BY11" s="137">
        <v>-211.0723111325853</v>
      </c>
      <c r="BZ11" s="137">
        <v>-212.74027859388048</v>
      </c>
      <c r="CA11" s="137">
        <v>-214.97159855263141</v>
      </c>
      <c r="CB11" s="137">
        <v>-217.83508113458811</v>
      </c>
      <c r="CC11" s="137">
        <v>-221.38696304139546</v>
      </c>
      <c r="CD11" s="137">
        <v>-225.66875057221699</v>
      </c>
      <c r="CE11" s="137">
        <v>-230.70630769665365</v>
      </c>
      <c r="CF11" s="137">
        <v>-236.51002881766988</v>
      </c>
      <c r="CG11" s="137">
        <v>-243.07587906438056</v>
      </c>
      <c r="CH11" s="137">
        <v>-250.38706118539835</v>
      </c>
      <c r="CI11" s="137">
        <v>-258.41607200775326</v>
      </c>
      <c r="CJ11" s="137">
        <v>-267.12693571338548</v>
      </c>
      <c r="CK11" s="137">
        <v>-276.47743814879027</v>
      </c>
      <c r="CL11" s="137">
        <v>-286.42122897053952</v>
      </c>
      <c r="CM11" s="137">
        <v>-296.90970094492991</v>
      </c>
      <c r="CN11" s="137">
        <v>-307.89359412779953</v>
      </c>
      <c r="CO11" s="137">
        <v>-319.32430455547319</v>
      </c>
      <c r="CP11" s="137">
        <v>-331.15490149956793</v>
      </c>
      <c r="CQ11" s="137">
        <v>-343.34087437206426</v>
      </c>
      <c r="CR11" s="137">
        <v>-355.8406408207627</v>
      </c>
      <c r="CS11" s="137">
        <v>-368.6158526213635</v>
      </c>
      <c r="CT11" s="137">
        <v>-381.63153696420579</v>
      </c>
      <c r="CU11" s="137">
        <v>-394.85610890332566</v>
      </c>
      <c r="CV11" s="137">
        <v>-408.26128716186463</v>
      </c>
      <c r="CW11" s="137">
        <v>-421.82194102844528</v>
      </c>
      <c r="CX11" s="137">
        <v>-435.51589136395523</v>
      </c>
      <c r="CY11" s="137">
        <v>-449.32368419163447</v>
      </c>
      <c r="CZ11" s="137">
        <v>-463.22835122155959</v>
      </c>
      <c r="DA11" s="137">
        <v>-477.21516809027094</v>
      </c>
      <c r="DB11" s="137">
        <v>-491.2714181142444</v>
      </c>
      <c r="DC11" s="137">
        <v>-505.38616694047278</v>
      </c>
      <c r="DD11" s="137">
        <v>-519.55005157319522</v>
      </c>
      <c r="DE11" s="137">
        <v>-533.75508579296104</v>
      </c>
      <c r="DF11" s="137">
        <v>-547.9944828881878</v>
      </c>
      <c r="DG11" s="137">
        <v>-562.26249582167748</v>
      </c>
      <c r="DH11" s="137">
        <v>-576.55427439165965</v>
      </c>
      <c r="DI11" s="137">
        <v>-590.86573856785014</v>
      </c>
      <c r="DJ11" s="137">
        <v>-605.19346694265562</v>
      </c>
      <c r="DK11" s="137">
        <v>-619.53459910227843</v>
      </c>
      <c r="DL11" s="137">
        <v>-633.88675066351266</v>
      </c>
      <c r="DM11" s="137">
        <v>-648.24793971862323</v>
      </c>
      <c r="DN11" s="137">
        <v>-662.61652346549818</v>
      </c>
      <c r="DO11" s="137">
        <v>-676.99114386137717</v>
      </c>
      <c r="DP11" s="137">
        <v>-691.37068121565949</v>
      </c>
      <c r="DQ11" s="137">
        <v>-705.75421472382459</v>
      </c>
    </row>
    <row r="12" spans="1:4598" s="370" customFormat="1" ht="35" customHeight="1" thickBot="1" x14ac:dyDescent="0.25">
      <c r="A12" s="394">
        <v>-1.8633509453477344</v>
      </c>
      <c r="B12" s="529"/>
      <c r="C12" s="487" t="s">
        <v>118</v>
      </c>
      <c r="D12" s="488"/>
      <c r="E12" s="33">
        <v>0</v>
      </c>
      <c r="F12" s="350"/>
      <c r="G12" s="182"/>
      <c r="H12" s="340"/>
      <c r="I12" s="122"/>
      <c r="J12" s="122"/>
      <c r="K12" s="122"/>
      <c r="L12" s="182"/>
      <c r="M12" s="182"/>
      <c r="N12" s="186"/>
      <c r="O12" s="127"/>
      <c r="P12" s="383"/>
      <c r="Q12" s="482" t="s">
        <v>157</v>
      </c>
      <c r="R12" s="483"/>
      <c r="S12" s="136" cm="1">
        <f t="array" aca="1" ref="S12" ca="1">totalCost()</f>
        <v>2685.3046663074274</v>
      </c>
      <c r="T12" s="384"/>
      <c r="U12" s="137">
        <v>2685.3046663074274</v>
      </c>
      <c r="V12" s="137">
        <v>2685.3046663074274</v>
      </c>
      <c r="W12" s="137">
        <v>2685.3046663074274</v>
      </c>
      <c r="X12" s="137">
        <v>2685.3046663074274</v>
      </c>
      <c r="Y12" s="137">
        <v>2685.3046663074274</v>
      </c>
      <c r="Z12" s="137">
        <v>2685.3046663074274</v>
      </c>
      <c r="AA12" s="137">
        <v>2685.3046663074274</v>
      </c>
      <c r="AB12" s="137">
        <v>2685.3046663074274</v>
      </c>
      <c r="AC12" s="137">
        <v>2685.3046663074274</v>
      </c>
      <c r="AD12" s="137">
        <v>2685.3046663074274</v>
      </c>
      <c r="AE12" s="137">
        <v>2685.3046663074274</v>
      </c>
      <c r="AF12" s="137">
        <v>2685.3046663074274</v>
      </c>
      <c r="AG12" s="137">
        <v>2685.3046663074274</v>
      </c>
      <c r="AH12" s="137">
        <v>2685.3046663074274</v>
      </c>
      <c r="AI12" s="137">
        <v>2685.3046663074274</v>
      </c>
      <c r="AJ12" s="137">
        <v>2685.3046663074274</v>
      </c>
      <c r="AK12" s="137">
        <v>2685.3046663074274</v>
      </c>
      <c r="AL12" s="137">
        <v>2685.3046663074274</v>
      </c>
      <c r="AM12" s="137">
        <v>2685.3046663074274</v>
      </c>
      <c r="AN12" s="137">
        <v>2685.3046663074274</v>
      </c>
      <c r="AO12" s="137">
        <v>2685.3046663074274</v>
      </c>
      <c r="AP12" s="137">
        <v>2685.3046663074274</v>
      </c>
      <c r="AQ12" s="137">
        <v>2685.3046663074274</v>
      </c>
      <c r="AR12" s="137">
        <v>2685.3046663074274</v>
      </c>
      <c r="AS12" s="137">
        <v>2685.3046663074274</v>
      </c>
      <c r="AT12" s="137">
        <v>2685.3046663074274</v>
      </c>
      <c r="AU12" s="137">
        <v>2685.3046663074274</v>
      </c>
      <c r="AV12" s="137">
        <v>2685.3046663074274</v>
      </c>
      <c r="AW12" s="137">
        <v>2685.3046663074274</v>
      </c>
      <c r="AX12" s="137">
        <v>2685.3046663074274</v>
      </c>
      <c r="AY12" s="137">
        <v>2685.3046663074274</v>
      </c>
      <c r="AZ12" s="137">
        <v>2685.3046663074274</v>
      </c>
      <c r="BA12" s="137">
        <v>2685.3046663074274</v>
      </c>
      <c r="BB12" s="137">
        <v>2685.3046663074274</v>
      </c>
      <c r="BC12" s="137">
        <v>2685.3046663074274</v>
      </c>
      <c r="BD12" s="137">
        <v>2685.3046663074274</v>
      </c>
      <c r="BE12" s="137">
        <v>2685.3046663074274</v>
      </c>
      <c r="BF12" s="137">
        <v>2685.3046663074274</v>
      </c>
      <c r="BG12" s="137">
        <v>2685.3046663074274</v>
      </c>
      <c r="BH12" s="137">
        <v>2685.3046663074274</v>
      </c>
      <c r="BI12" s="137">
        <v>2685.3046663074274</v>
      </c>
      <c r="BJ12" s="137">
        <v>2685.3046663074274</v>
      </c>
      <c r="BK12" s="137">
        <v>2685.3046663074274</v>
      </c>
      <c r="BL12" s="137">
        <v>2685.3046663074274</v>
      </c>
      <c r="BM12" s="137">
        <v>2685.3046663074274</v>
      </c>
      <c r="BN12" s="137">
        <v>2685.3046663074274</v>
      </c>
      <c r="BO12" s="137">
        <v>2685.3046663074274</v>
      </c>
      <c r="BP12" s="137">
        <v>2685.3046663074274</v>
      </c>
      <c r="BQ12" s="137">
        <v>2685.3046663074274</v>
      </c>
      <c r="BR12" s="137">
        <v>2685.3046663074274</v>
      </c>
      <c r="BS12" s="137">
        <v>2685.3046663074274</v>
      </c>
      <c r="BT12" s="137">
        <v>2685.3046663074274</v>
      </c>
      <c r="BU12" s="137">
        <v>2685.3046663074274</v>
      </c>
      <c r="BV12" s="137">
        <v>2685.3046663074274</v>
      </c>
      <c r="BW12" s="137">
        <v>2685.3046663074274</v>
      </c>
      <c r="BX12" s="137">
        <v>2685.3046663074274</v>
      </c>
      <c r="BY12" s="137">
        <v>2685.3046663074274</v>
      </c>
      <c r="BZ12" s="137">
        <v>2685.3046663074274</v>
      </c>
      <c r="CA12" s="137">
        <v>2685.3046663074274</v>
      </c>
      <c r="CB12" s="137">
        <v>2685.3046663074274</v>
      </c>
      <c r="CC12" s="137">
        <v>2685.3046663074274</v>
      </c>
      <c r="CD12" s="137">
        <v>2685.3046663074274</v>
      </c>
      <c r="CE12" s="137">
        <v>2685.3046663074274</v>
      </c>
      <c r="CF12" s="137">
        <v>2685.3046663074274</v>
      </c>
      <c r="CG12" s="137">
        <v>2685.3046663074274</v>
      </c>
      <c r="CH12" s="137">
        <v>2685.3046663074274</v>
      </c>
      <c r="CI12" s="137">
        <v>2685.3046663074274</v>
      </c>
      <c r="CJ12" s="137">
        <v>2685.3046663074274</v>
      </c>
      <c r="CK12" s="137">
        <v>2685.3046663074274</v>
      </c>
      <c r="CL12" s="137">
        <v>2685.3046663074274</v>
      </c>
      <c r="CM12" s="137">
        <v>2685.3046663074274</v>
      </c>
      <c r="CN12" s="137">
        <v>2685.3046663074274</v>
      </c>
      <c r="CO12" s="137">
        <v>2685.3046663074274</v>
      </c>
      <c r="CP12" s="137">
        <v>2685.3046663074274</v>
      </c>
      <c r="CQ12" s="137">
        <v>2685.3046663074274</v>
      </c>
      <c r="CR12" s="137">
        <v>2685.3046663074274</v>
      </c>
      <c r="CS12" s="137">
        <v>2685.3046663074274</v>
      </c>
      <c r="CT12" s="137">
        <v>2685.3046663074274</v>
      </c>
      <c r="CU12" s="137">
        <v>2685.3046663074274</v>
      </c>
      <c r="CV12" s="137">
        <v>2685.3046663074274</v>
      </c>
      <c r="CW12" s="137">
        <v>2685.3046663074274</v>
      </c>
      <c r="CX12" s="137">
        <v>2685.3046663074274</v>
      </c>
      <c r="CY12" s="137">
        <v>2685.3046663074274</v>
      </c>
      <c r="CZ12" s="137">
        <v>2685.3046663074274</v>
      </c>
      <c r="DA12" s="137">
        <v>2685.3046663074274</v>
      </c>
      <c r="DB12" s="137">
        <v>2685.3046663074274</v>
      </c>
      <c r="DC12" s="137">
        <v>2685.3046663074274</v>
      </c>
      <c r="DD12" s="137">
        <v>2685.3046663074274</v>
      </c>
      <c r="DE12" s="137">
        <v>2685.3046663074274</v>
      </c>
      <c r="DF12" s="137">
        <v>2685.3046663074274</v>
      </c>
      <c r="DG12" s="137">
        <v>2685.3046663074274</v>
      </c>
      <c r="DH12" s="137">
        <v>2685.3046663074274</v>
      </c>
      <c r="DI12" s="137">
        <v>2685.3046663074274</v>
      </c>
      <c r="DJ12" s="137">
        <v>2685.3046663074274</v>
      </c>
      <c r="DK12" s="137">
        <v>2685.3046663074274</v>
      </c>
      <c r="DL12" s="137">
        <v>2685.3046663074274</v>
      </c>
      <c r="DM12" s="137">
        <v>2685.3046663074274</v>
      </c>
      <c r="DN12" s="137">
        <v>2685.3046663074274</v>
      </c>
      <c r="DO12" s="137">
        <v>2685.3046663074274</v>
      </c>
      <c r="DP12" s="137">
        <v>2685.3046663074274</v>
      </c>
      <c r="DQ12" s="137">
        <v>2685.3046663074274</v>
      </c>
    </row>
    <row r="13" spans="1:4598" s="370" customFormat="1" ht="20" thickBot="1" x14ac:dyDescent="0.3">
      <c r="A13" s="394">
        <v>-1.8330639663241306</v>
      </c>
      <c r="B13" s="528" t="s">
        <v>149</v>
      </c>
      <c r="C13" s="536" t="s">
        <v>150</v>
      </c>
      <c r="D13" s="537"/>
      <c r="E13" s="32">
        <v>0</v>
      </c>
      <c r="F13" s="348"/>
      <c r="G13" s="185"/>
      <c r="H13" s="341"/>
      <c r="I13" s="491" t="s">
        <v>87</v>
      </c>
      <c r="J13" s="527"/>
      <c r="K13" s="522"/>
      <c r="L13" s="182"/>
      <c r="M13" s="182"/>
      <c r="N13" s="186"/>
      <c r="O13" s="127"/>
      <c r="P13" s="539" t="s">
        <v>170</v>
      </c>
      <c r="Q13" s="540"/>
      <c r="R13" s="540"/>
      <c r="S13" s="540"/>
      <c r="T13" s="541"/>
      <c r="U13" s="137">
        <v>320</v>
      </c>
      <c r="V13" s="137">
        <v>285</v>
      </c>
      <c r="W13" s="137">
        <v>258</v>
      </c>
      <c r="X13" s="137">
        <v>72</v>
      </c>
      <c r="Y13" s="137">
        <v>617</v>
      </c>
      <c r="Z13" s="137">
        <v>256</v>
      </c>
      <c r="AA13" s="137">
        <v>609</v>
      </c>
      <c r="AB13" s="137">
        <v>422</v>
      </c>
      <c r="AC13" s="137">
        <v>856</v>
      </c>
      <c r="AD13" s="137">
        <v>823</v>
      </c>
      <c r="AE13" s="137">
        <v>831</v>
      </c>
      <c r="AF13" s="137">
        <v>827</v>
      </c>
      <c r="AG13" s="137">
        <v>440</v>
      </c>
      <c r="AH13" s="137">
        <v>461</v>
      </c>
      <c r="AI13" s="137">
        <v>479</v>
      </c>
      <c r="AJ13" s="137">
        <v>880</v>
      </c>
      <c r="AK13" s="137">
        <v>80</v>
      </c>
      <c r="AL13" s="137">
        <v>908</v>
      </c>
      <c r="AM13" s="137">
        <v>332</v>
      </c>
      <c r="AN13" s="137">
        <v>482</v>
      </c>
      <c r="AO13" s="137">
        <v>694</v>
      </c>
      <c r="AP13" s="137">
        <v>157</v>
      </c>
      <c r="AQ13" s="137">
        <v>490</v>
      </c>
      <c r="AR13" s="137">
        <v>699</v>
      </c>
      <c r="AS13" s="137">
        <v>454</v>
      </c>
      <c r="AT13" s="137">
        <v>460</v>
      </c>
      <c r="AU13" s="137">
        <v>214</v>
      </c>
      <c r="AV13" s="137">
        <v>936</v>
      </c>
      <c r="AW13" s="137">
        <v>776</v>
      </c>
      <c r="AX13" s="137">
        <v>276</v>
      </c>
      <c r="AY13" s="137">
        <v>54</v>
      </c>
      <c r="AZ13" s="137">
        <v>782</v>
      </c>
      <c r="BA13" s="137">
        <v>346</v>
      </c>
      <c r="BB13" s="137">
        <v>366</v>
      </c>
      <c r="BC13" s="137">
        <v>851</v>
      </c>
      <c r="BD13" s="137">
        <v>111</v>
      </c>
      <c r="BE13" s="137">
        <v>95</v>
      </c>
      <c r="BF13" s="137">
        <v>716</v>
      </c>
      <c r="BG13" s="137">
        <v>599</v>
      </c>
      <c r="BH13" s="137">
        <v>35</v>
      </c>
      <c r="BI13" s="137">
        <v>203</v>
      </c>
      <c r="BJ13" s="137">
        <v>566</v>
      </c>
      <c r="BK13" s="137">
        <v>638</v>
      </c>
      <c r="BL13" s="137">
        <v>919</v>
      </c>
      <c r="BM13" s="137">
        <v>60</v>
      </c>
      <c r="BN13" s="137">
        <v>379</v>
      </c>
      <c r="BO13" s="137">
        <v>513</v>
      </c>
      <c r="BP13" s="137">
        <v>365</v>
      </c>
      <c r="BQ13" s="137">
        <v>387</v>
      </c>
      <c r="BR13" s="137">
        <v>929</v>
      </c>
      <c r="BS13" s="137">
        <v>5</v>
      </c>
      <c r="BT13" s="137">
        <v>253</v>
      </c>
      <c r="BU13" s="137">
        <v>83</v>
      </c>
      <c r="BV13" s="137">
        <v>182</v>
      </c>
      <c r="BW13" s="137">
        <v>205</v>
      </c>
      <c r="BX13" s="137">
        <v>691</v>
      </c>
      <c r="BY13" s="137">
        <v>327</v>
      </c>
      <c r="BZ13" s="137">
        <v>380</v>
      </c>
      <c r="CA13" s="137">
        <v>361</v>
      </c>
      <c r="CB13" s="137">
        <v>29</v>
      </c>
      <c r="CC13" s="137">
        <v>567</v>
      </c>
      <c r="CD13" s="137">
        <v>15</v>
      </c>
      <c r="CE13" s="137">
        <v>63</v>
      </c>
      <c r="CF13" s="137">
        <v>896</v>
      </c>
      <c r="CG13" s="137">
        <v>439</v>
      </c>
      <c r="CH13" s="137">
        <v>841</v>
      </c>
      <c r="CI13" s="137">
        <v>105</v>
      </c>
      <c r="CJ13" s="137">
        <v>142</v>
      </c>
      <c r="CK13" s="137">
        <v>898</v>
      </c>
      <c r="CL13" s="137">
        <v>807</v>
      </c>
      <c r="CM13" s="137">
        <v>540</v>
      </c>
      <c r="CN13" s="137">
        <v>904</v>
      </c>
      <c r="CO13" s="137">
        <v>113</v>
      </c>
      <c r="CP13" s="137">
        <v>177</v>
      </c>
      <c r="CQ13" s="137">
        <v>645</v>
      </c>
      <c r="CR13" s="137">
        <v>522</v>
      </c>
      <c r="CS13" s="137">
        <v>510</v>
      </c>
      <c r="CT13" s="137">
        <v>443</v>
      </c>
      <c r="CU13" s="137">
        <v>987</v>
      </c>
      <c r="CV13" s="137">
        <v>613</v>
      </c>
      <c r="CW13" s="137">
        <v>762</v>
      </c>
      <c r="CX13" s="137">
        <v>323</v>
      </c>
      <c r="CY13" s="137">
        <v>373</v>
      </c>
      <c r="CZ13" s="137">
        <v>42</v>
      </c>
      <c r="DA13" s="137">
        <v>798</v>
      </c>
      <c r="DB13" s="137">
        <v>847</v>
      </c>
      <c r="DC13" s="137">
        <v>862</v>
      </c>
      <c r="DD13" s="137">
        <v>933</v>
      </c>
      <c r="DE13" s="137">
        <v>787</v>
      </c>
      <c r="DF13" s="137">
        <v>201</v>
      </c>
      <c r="DG13" s="137">
        <v>713</v>
      </c>
      <c r="DH13" s="137">
        <v>632</v>
      </c>
      <c r="DI13" s="137">
        <v>158</v>
      </c>
      <c r="DJ13" s="137">
        <v>889</v>
      </c>
      <c r="DK13" s="137">
        <v>527</v>
      </c>
      <c r="DL13" s="137">
        <v>768</v>
      </c>
      <c r="DM13" s="137">
        <v>594</v>
      </c>
      <c r="DN13" s="137">
        <v>672</v>
      </c>
      <c r="DO13" s="137">
        <v>61</v>
      </c>
      <c r="DP13" s="137">
        <v>193</v>
      </c>
      <c r="DQ13" s="137">
        <v>9</v>
      </c>
      <c r="DR13" s="370">
        <v>530</v>
      </c>
      <c r="DS13" s="370">
        <v>404</v>
      </c>
      <c r="DT13" s="370">
        <v>16</v>
      </c>
      <c r="DU13" s="370">
        <v>598</v>
      </c>
      <c r="DV13" s="370">
        <v>681</v>
      </c>
      <c r="DW13" s="370">
        <v>849</v>
      </c>
      <c r="DX13" s="370">
        <v>623</v>
      </c>
      <c r="DY13" s="370">
        <v>769</v>
      </c>
      <c r="DZ13" s="370">
        <v>627</v>
      </c>
      <c r="EA13" s="370">
        <v>915</v>
      </c>
      <c r="EB13" s="370">
        <v>610</v>
      </c>
      <c r="EC13" s="370">
        <v>206</v>
      </c>
      <c r="ED13" s="370">
        <v>112</v>
      </c>
      <c r="EE13" s="370">
        <v>432</v>
      </c>
      <c r="EF13" s="370">
        <v>850</v>
      </c>
      <c r="EG13" s="370">
        <v>822</v>
      </c>
      <c r="EH13" s="370">
        <v>115</v>
      </c>
      <c r="EI13" s="370">
        <v>448</v>
      </c>
      <c r="EJ13" s="370">
        <v>426</v>
      </c>
      <c r="EK13" s="370">
        <v>804</v>
      </c>
      <c r="EL13" s="370">
        <v>882</v>
      </c>
      <c r="EM13" s="370">
        <v>254</v>
      </c>
      <c r="EN13" s="370">
        <v>745</v>
      </c>
      <c r="EO13" s="370">
        <v>581</v>
      </c>
      <c r="EP13" s="370">
        <v>893</v>
      </c>
      <c r="EQ13" s="370">
        <v>415</v>
      </c>
      <c r="ER13" s="370">
        <v>388</v>
      </c>
      <c r="ES13" s="370">
        <v>819</v>
      </c>
      <c r="ET13" s="370">
        <v>891</v>
      </c>
      <c r="EU13" s="370">
        <v>718</v>
      </c>
      <c r="EV13" s="370">
        <v>236</v>
      </c>
      <c r="EW13" s="370">
        <v>451</v>
      </c>
      <c r="EX13" s="370">
        <v>874</v>
      </c>
      <c r="EY13" s="370">
        <v>226</v>
      </c>
      <c r="EZ13" s="370">
        <v>394</v>
      </c>
      <c r="FA13" s="370">
        <v>650</v>
      </c>
      <c r="FB13" s="370">
        <v>51</v>
      </c>
      <c r="FC13" s="370">
        <v>228</v>
      </c>
      <c r="FD13" s="370">
        <v>233</v>
      </c>
      <c r="FE13" s="370">
        <v>853</v>
      </c>
      <c r="FF13" s="370">
        <v>946</v>
      </c>
      <c r="FG13" s="370">
        <v>272</v>
      </c>
      <c r="FH13" s="370">
        <v>353</v>
      </c>
      <c r="FI13" s="370">
        <v>702</v>
      </c>
      <c r="FJ13" s="370">
        <v>268</v>
      </c>
      <c r="FK13" s="370">
        <v>176</v>
      </c>
      <c r="FL13" s="370">
        <v>634</v>
      </c>
      <c r="FM13" s="370">
        <v>154</v>
      </c>
      <c r="FN13" s="370">
        <v>22</v>
      </c>
      <c r="FO13" s="370">
        <v>983</v>
      </c>
      <c r="FP13" s="370">
        <v>174</v>
      </c>
      <c r="FQ13" s="370">
        <v>385</v>
      </c>
      <c r="FR13" s="370">
        <v>458</v>
      </c>
      <c r="FS13" s="370">
        <v>986</v>
      </c>
      <c r="FT13" s="370">
        <v>344</v>
      </c>
      <c r="FU13" s="370">
        <v>811</v>
      </c>
      <c r="FV13" s="370">
        <v>20</v>
      </c>
      <c r="FW13" s="370">
        <v>756</v>
      </c>
      <c r="FX13" s="370">
        <v>766</v>
      </c>
      <c r="FY13" s="370">
        <v>100</v>
      </c>
      <c r="FZ13" s="370">
        <v>498</v>
      </c>
      <c r="GA13" s="370">
        <v>57</v>
      </c>
      <c r="GB13" s="370">
        <v>279</v>
      </c>
      <c r="GC13" s="370">
        <v>208</v>
      </c>
      <c r="GD13" s="370">
        <v>857</v>
      </c>
      <c r="GE13" s="370">
        <v>981</v>
      </c>
      <c r="GF13" s="370">
        <v>18</v>
      </c>
      <c r="GG13" s="370">
        <v>261</v>
      </c>
      <c r="GH13" s="370">
        <v>305</v>
      </c>
      <c r="GI13" s="370">
        <v>805</v>
      </c>
      <c r="GJ13" s="370">
        <v>337</v>
      </c>
      <c r="GK13" s="370">
        <v>729</v>
      </c>
      <c r="GL13" s="370">
        <v>389</v>
      </c>
      <c r="GM13" s="370">
        <v>79</v>
      </c>
      <c r="GN13" s="370">
        <v>868</v>
      </c>
      <c r="GO13" s="370">
        <v>269</v>
      </c>
      <c r="GP13" s="370">
        <v>815</v>
      </c>
      <c r="GQ13" s="370">
        <v>619</v>
      </c>
      <c r="GR13" s="370">
        <v>435</v>
      </c>
      <c r="GS13" s="370">
        <v>818</v>
      </c>
      <c r="GT13" s="370">
        <v>575</v>
      </c>
      <c r="GU13" s="370">
        <v>467</v>
      </c>
      <c r="GV13" s="370">
        <v>181</v>
      </c>
      <c r="GW13" s="370">
        <v>545</v>
      </c>
      <c r="GX13" s="370">
        <v>895</v>
      </c>
      <c r="GY13" s="370">
        <v>916</v>
      </c>
      <c r="GZ13" s="370">
        <v>475</v>
      </c>
      <c r="HA13" s="370">
        <v>867</v>
      </c>
      <c r="HB13" s="370">
        <v>282</v>
      </c>
      <c r="HC13" s="370">
        <v>532</v>
      </c>
      <c r="HD13" s="370">
        <v>892</v>
      </c>
      <c r="HE13" s="370">
        <v>464</v>
      </c>
      <c r="HF13" s="370">
        <v>486</v>
      </c>
      <c r="HG13" s="370">
        <v>92</v>
      </c>
      <c r="HH13" s="370">
        <v>330</v>
      </c>
      <c r="HI13" s="370">
        <v>259</v>
      </c>
      <c r="HJ13" s="370">
        <v>449</v>
      </c>
      <c r="HK13" s="370">
        <v>679</v>
      </c>
      <c r="HL13" s="370">
        <v>907</v>
      </c>
      <c r="HM13" s="370">
        <v>450</v>
      </c>
      <c r="HN13" s="370">
        <v>452</v>
      </c>
      <c r="HO13" s="370">
        <v>579</v>
      </c>
      <c r="HP13" s="370">
        <v>961</v>
      </c>
      <c r="HQ13" s="370">
        <v>438</v>
      </c>
      <c r="HR13" s="370">
        <v>965</v>
      </c>
      <c r="HS13" s="370">
        <v>319</v>
      </c>
      <c r="HT13" s="370">
        <v>116</v>
      </c>
      <c r="HU13" s="370">
        <v>914</v>
      </c>
      <c r="HV13" s="370">
        <v>727</v>
      </c>
      <c r="HW13" s="370">
        <v>754</v>
      </c>
      <c r="HX13" s="370">
        <v>241</v>
      </c>
      <c r="HY13" s="370">
        <v>796</v>
      </c>
      <c r="HZ13" s="370">
        <v>736</v>
      </c>
      <c r="IA13" s="370">
        <v>878</v>
      </c>
      <c r="IB13" s="370">
        <v>441</v>
      </c>
      <c r="IC13" s="370">
        <v>251</v>
      </c>
      <c r="ID13" s="370">
        <v>223</v>
      </c>
      <c r="IE13" s="370">
        <v>23</v>
      </c>
      <c r="IF13" s="370">
        <v>81</v>
      </c>
      <c r="IG13" s="370">
        <v>722</v>
      </c>
      <c r="IH13" s="370">
        <v>671</v>
      </c>
      <c r="II13" s="370">
        <v>753</v>
      </c>
      <c r="IJ13" s="370">
        <v>779</v>
      </c>
      <c r="IK13" s="370">
        <v>877</v>
      </c>
      <c r="IL13" s="370">
        <v>839</v>
      </c>
      <c r="IM13" s="370">
        <v>828</v>
      </c>
      <c r="IN13" s="370">
        <v>392</v>
      </c>
      <c r="IO13" s="370">
        <v>648</v>
      </c>
      <c r="IP13" s="370">
        <v>683</v>
      </c>
      <c r="IQ13" s="370">
        <v>311</v>
      </c>
      <c r="IR13" s="370">
        <v>37</v>
      </c>
      <c r="IS13" s="370">
        <v>209</v>
      </c>
      <c r="IT13" s="370">
        <v>472</v>
      </c>
      <c r="IU13" s="370">
        <v>542</v>
      </c>
      <c r="IV13" s="370">
        <v>76</v>
      </c>
      <c r="IW13" s="370">
        <v>964</v>
      </c>
      <c r="IX13" s="370">
        <v>665</v>
      </c>
      <c r="IY13" s="370">
        <v>10</v>
      </c>
      <c r="IZ13" s="370">
        <v>127</v>
      </c>
      <c r="JA13" s="370">
        <v>616</v>
      </c>
      <c r="JB13" s="370">
        <v>21</v>
      </c>
      <c r="JC13" s="370">
        <v>577</v>
      </c>
      <c r="JD13" s="370">
        <v>47</v>
      </c>
      <c r="JE13" s="370">
        <v>75</v>
      </c>
      <c r="JF13" s="370">
        <v>543</v>
      </c>
      <c r="JG13" s="370">
        <v>244</v>
      </c>
      <c r="JH13" s="370">
        <v>953</v>
      </c>
      <c r="JI13" s="370">
        <v>544</v>
      </c>
      <c r="JJ13" s="370">
        <v>423</v>
      </c>
      <c r="JK13" s="370">
        <v>328</v>
      </c>
      <c r="JL13" s="370">
        <v>213</v>
      </c>
      <c r="JM13" s="370">
        <v>401</v>
      </c>
      <c r="JN13" s="370">
        <v>191</v>
      </c>
      <c r="JO13" s="370">
        <v>396</v>
      </c>
      <c r="JP13" s="370">
        <v>418</v>
      </c>
      <c r="JQ13" s="370">
        <v>362</v>
      </c>
      <c r="JR13" s="370">
        <v>574</v>
      </c>
      <c r="JS13" s="370">
        <v>240</v>
      </c>
      <c r="JT13" s="370">
        <v>462</v>
      </c>
      <c r="JU13" s="370">
        <v>336</v>
      </c>
      <c r="JV13" s="370">
        <v>553</v>
      </c>
      <c r="JW13" s="370">
        <v>899</v>
      </c>
      <c r="JX13" s="370">
        <v>429</v>
      </c>
      <c r="JY13" s="370">
        <v>516</v>
      </c>
      <c r="JZ13" s="370">
        <v>352</v>
      </c>
      <c r="KA13" s="370">
        <v>688</v>
      </c>
      <c r="KB13" s="370">
        <v>704</v>
      </c>
      <c r="KC13" s="370">
        <v>295</v>
      </c>
      <c r="KD13" s="370">
        <v>500</v>
      </c>
      <c r="KE13" s="370">
        <v>139</v>
      </c>
      <c r="KF13" s="370">
        <v>890</v>
      </c>
      <c r="KG13" s="370">
        <v>383</v>
      </c>
      <c r="KH13" s="370">
        <v>700</v>
      </c>
      <c r="KI13" s="370">
        <v>78</v>
      </c>
      <c r="KJ13" s="370">
        <v>872</v>
      </c>
      <c r="KK13" s="370">
        <v>689</v>
      </c>
      <c r="KL13" s="370">
        <v>960</v>
      </c>
      <c r="KM13" s="370">
        <v>555</v>
      </c>
      <c r="KN13" s="370">
        <v>720</v>
      </c>
      <c r="KO13" s="370">
        <v>381</v>
      </c>
      <c r="KP13" s="370">
        <v>512</v>
      </c>
      <c r="KQ13" s="370">
        <v>842</v>
      </c>
      <c r="KR13" s="370">
        <v>840</v>
      </c>
      <c r="KS13" s="370">
        <v>905</v>
      </c>
      <c r="KT13" s="370">
        <v>848</v>
      </c>
      <c r="KU13" s="370">
        <v>504</v>
      </c>
      <c r="KV13" s="370">
        <v>813</v>
      </c>
      <c r="KW13" s="370">
        <v>922</v>
      </c>
      <c r="KX13" s="370">
        <v>684</v>
      </c>
      <c r="KY13" s="370">
        <v>339</v>
      </c>
      <c r="KZ13" s="370">
        <v>523</v>
      </c>
      <c r="LA13" s="370">
        <v>354</v>
      </c>
      <c r="LB13" s="370">
        <v>32</v>
      </c>
      <c r="LC13" s="370">
        <v>421</v>
      </c>
      <c r="LD13" s="370">
        <v>66</v>
      </c>
      <c r="LE13" s="370">
        <v>395</v>
      </c>
      <c r="LF13" s="370">
        <v>126</v>
      </c>
      <c r="LG13" s="370">
        <v>24</v>
      </c>
      <c r="LH13" s="370">
        <v>843</v>
      </c>
      <c r="LI13" s="370">
        <v>466</v>
      </c>
      <c r="LJ13" s="370">
        <v>463</v>
      </c>
      <c r="LK13" s="370">
        <v>714</v>
      </c>
      <c r="LL13" s="370">
        <v>413</v>
      </c>
      <c r="LM13" s="370">
        <v>225</v>
      </c>
      <c r="LN13" s="370">
        <v>759</v>
      </c>
      <c r="LO13" s="370">
        <v>284</v>
      </c>
      <c r="LP13" s="370">
        <v>680</v>
      </c>
      <c r="LQ13" s="370">
        <v>611</v>
      </c>
      <c r="LR13" s="370">
        <v>8</v>
      </c>
      <c r="LS13" s="370">
        <v>792</v>
      </c>
      <c r="LT13" s="370">
        <v>747</v>
      </c>
      <c r="LU13" s="370">
        <v>803</v>
      </c>
      <c r="LV13" s="370">
        <v>481</v>
      </c>
      <c r="LW13" s="370">
        <v>529</v>
      </c>
      <c r="LX13" s="370">
        <v>963</v>
      </c>
      <c r="LY13" s="370">
        <v>220</v>
      </c>
      <c r="LZ13" s="370">
        <v>612</v>
      </c>
      <c r="MA13" s="370">
        <v>40</v>
      </c>
      <c r="MB13" s="370">
        <v>957</v>
      </c>
      <c r="MC13" s="370">
        <v>549</v>
      </c>
      <c r="MD13" s="370">
        <v>170</v>
      </c>
      <c r="ME13" s="370">
        <v>140</v>
      </c>
      <c r="MF13" s="370">
        <v>590</v>
      </c>
      <c r="MG13" s="370">
        <v>692</v>
      </c>
      <c r="MH13" s="370">
        <v>146</v>
      </c>
      <c r="MI13" s="370">
        <v>886</v>
      </c>
      <c r="MJ13" s="370">
        <v>971</v>
      </c>
      <c r="MK13" s="370">
        <v>858</v>
      </c>
      <c r="ML13" s="370">
        <v>780</v>
      </c>
      <c r="MM13" s="370">
        <v>572</v>
      </c>
      <c r="MN13" s="370">
        <v>476</v>
      </c>
      <c r="MO13" s="370">
        <v>433</v>
      </c>
      <c r="MP13" s="370">
        <v>556</v>
      </c>
      <c r="MQ13" s="370">
        <v>725</v>
      </c>
      <c r="MR13" s="370">
        <v>690</v>
      </c>
      <c r="MS13" s="370">
        <v>119</v>
      </c>
      <c r="MT13" s="370">
        <v>189</v>
      </c>
      <c r="MU13" s="370">
        <v>179</v>
      </c>
      <c r="MV13" s="370">
        <v>502</v>
      </c>
      <c r="MW13" s="370">
        <v>861</v>
      </c>
      <c r="MX13" s="370">
        <v>698</v>
      </c>
      <c r="MY13" s="370">
        <v>975</v>
      </c>
      <c r="MZ13" s="370">
        <v>7</v>
      </c>
      <c r="NA13" s="370">
        <v>784</v>
      </c>
      <c r="NB13" s="370">
        <v>304</v>
      </c>
      <c r="NC13" s="370">
        <v>399</v>
      </c>
      <c r="ND13" s="370">
        <v>595</v>
      </c>
      <c r="NE13" s="370">
        <v>343</v>
      </c>
      <c r="NF13" s="370">
        <v>517</v>
      </c>
      <c r="NG13" s="370">
        <v>19</v>
      </c>
      <c r="NH13" s="370">
        <v>865</v>
      </c>
      <c r="NI13" s="370">
        <v>230</v>
      </c>
      <c r="NJ13" s="370">
        <v>46</v>
      </c>
      <c r="NK13" s="370">
        <v>639</v>
      </c>
      <c r="NL13" s="370">
        <v>660</v>
      </c>
      <c r="NM13" s="370">
        <v>331</v>
      </c>
      <c r="NN13" s="370">
        <v>902</v>
      </c>
      <c r="NO13" s="370">
        <v>289</v>
      </c>
      <c r="NP13" s="370">
        <v>118</v>
      </c>
      <c r="NQ13" s="370">
        <v>869</v>
      </c>
      <c r="NR13" s="370">
        <v>303</v>
      </c>
      <c r="NS13" s="370">
        <v>288</v>
      </c>
      <c r="NT13" s="370">
        <v>604</v>
      </c>
      <c r="NU13" s="370">
        <v>224</v>
      </c>
      <c r="NV13" s="370">
        <v>767</v>
      </c>
      <c r="NW13" s="370">
        <v>180</v>
      </c>
      <c r="NX13" s="370">
        <v>711</v>
      </c>
      <c r="NY13" s="370">
        <v>88</v>
      </c>
      <c r="NZ13" s="370">
        <v>999</v>
      </c>
      <c r="OA13" s="370">
        <v>770</v>
      </c>
      <c r="OB13" s="370">
        <v>315</v>
      </c>
      <c r="OC13" s="370">
        <v>402</v>
      </c>
      <c r="OD13" s="370">
        <v>4</v>
      </c>
      <c r="OE13" s="370">
        <v>96</v>
      </c>
      <c r="OF13" s="370">
        <v>552</v>
      </c>
      <c r="OG13" s="370">
        <v>324</v>
      </c>
      <c r="OH13" s="370">
        <v>28</v>
      </c>
      <c r="OI13" s="370">
        <v>487</v>
      </c>
      <c r="OJ13" s="370">
        <v>732</v>
      </c>
      <c r="OK13" s="370">
        <v>291</v>
      </c>
      <c r="OL13" s="370">
        <v>557</v>
      </c>
      <c r="OM13" s="370">
        <v>457</v>
      </c>
      <c r="ON13" s="370">
        <v>514</v>
      </c>
      <c r="OO13" s="370">
        <v>980</v>
      </c>
      <c r="OP13" s="370">
        <v>293</v>
      </c>
      <c r="OQ13" s="370">
        <v>825</v>
      </c>
      <c r="OR13" s="370">
        <v>740</v>
      </c>
      <c r="OS13" s="370">
        <v>294</v>
      </c>
      <c r="OT13" s="370">
        <v>277</v>
      </c>
      <c r="OU13" s="370">
        <v>641</v>
      </c>
      <c r="OV13" s="370">
        <v>533</v>
      </c>
      <c r="OW13" s="370">
        <v>444</v>
      </c>
      <c r="OX13" s="370">
        <v>721</v>
      </c>
      <c r="OY13" s="370">
        <v>215</v>
      </c>
      <c r="OZ13" s="370">
        <v>243</v>
      </c>
      <c r="PA13" s="370">
        <v>834</v>
      </c>
      <c r="PB13" s="370">
        <v>110</v>
      </c>
      <c r="PC13" s="370">
        <v>70</v>
      </c>
      <c r="PD13" s="370">
        <v>499</v>
      </c>
      <c r="PE13" s="370">
        <v>128</v>
      </c>
      <c r="PF13" s="370">
        <v>200</v>
      </c>
      <c r="PG13" s="370">
        <v>44</v>
      </c>
      <c r="PH13" s="370">
        <v>145</v>
      </c>
      <c r="PI13" s="370">
        <v>275</v>
      </c>
      <c r="PJ13" s="370">
        <v>952</v>
      </c>
      <c r="PK13" s="370">
        <v>162</v>
      </c>
      <c r="PL13" s="370">
        <v>317</v>
      </c>
      <c r="PM13" s="370">
        <v>447</v>
      </c>
      <c r="PN13" s="370">
        <v>628</v>
      </c>
      <c r="PO13" s="370">
        <v>746</v>
      </c>
      <c r="PP13" s="370">
        <v>370</v>
      </c>
      <c r="PQ13" s="370">
        <v>55</v>
      </c>
      <c r="PR13" s="370">
        <v>707</v>
      </c>
      <c r="PS13" s="370">
        <v>306</v>
      </c>
      <c r="PT13" s="370">
        <v>920</v>
      </c>
      <c r="PU13" s="370">
        <v>802</v>
      </c>
      <c r="PV13" s="370">
        <v>935</v>
      </c>
      <c r="PW13" s="370">
        <v>695</v>
      </c>
      <c r="PX13" s="370">
        <v>821</v>
      </c>
      <c r="PY13" s="370">
        <v>584</v>
      </c>
      <c r="PZ13" s="370">
        <v>281</v>
      </c>
      <c r="QA13" s="370">
        <v>928</v>
      </c>
      <c r="QB13" s="370">
        <v>186</v>
      </c>
      <c r="QC13" s="370">
        <v>591</v>
      </c>
      <c r="QD13" s="370">
        <v>1</v>
      </c>
      <c r="QE13" s="370">
        <v>310</v>
      </c>
      <c r="QF13" s="370">
        <v>382</v>
      </c>
      <c r="QG13" s="370">
        <v>248</v>
      </c>
      <c r="QH13" s="370">
        <v>588</v>
      </c>
      <c r="QI13" s="370">
        <v>410</v>
      </c>
      <c r="QJ13" s="370">
        <v>25</v>
      </c>
      <c r="QK13" s="370">
        <v>234</v>
      </c>
      <c r="QL13" s="370">
        <v>765</v>
      </c>
      <c r="QM13" s="370">
        <v>11</v>
      </c>
      <c r="QN13" s="370">
        <v>984</v>
      </c>
      <c r="QO13" s="370">
        <v>478</v>
      </c>
      <c r="QP13" s="370">
        <v>531</v>
      </c>
      <c r="QQ13" s="370">
        <v>171</v>
      </c>
      <c r="QR13" s="370">
        <v>356</v>
      </c>
      <c r="QS13" s="370">
        <v>122</v>
      </c>
      <c r="QT13" s="370">
        <v>103</v>
      </c>
      <c r="QU13" s="370">
        <v>202</v>
      </c>
      <c r="QV13" s="370">
        <v>525</v>
      </c>
      <c r="QW13" s="370">
        <v>642</v>
      </c>
      <c r="QX13" s="370">
        <v>997</v>
      </c>
      <c r="QY13" s="370">
        <v>622</v>
      </c>
      <c r="QZ13" s="370">
        <v>74</v>
      </c>
      <c r="RA13" s="370">
        <v>686</v>
      </c>
      <c r="RB13" s="370">
        <v>944</v>
      </c>
      <c r="RC13" s="370">
        <v>257</v>
      </c>
      <c r="RD13" s="370">
        <v>901</v>
      </c>
      <c r="RE13" s="370">
        <v>178</v>
      </c>
      <c r="RF13" s="370">
        <v>923</v>
      </c>
      <c r="RG13" s="370">
        <v>156</v>
      </c>
      <c r="RH13" s="370">
        <v>94</v>
      </c>
      <c r="RI13" s="370">
        <v>298</v>
      </c>
      <c r="RJ13" s="370">
        <v>169</v>
      </c>
      <c r="RK13" s="370">
        <v>621</v>
      </c>
      <c r="RL13" s="370">
        <v>31</v>
      </c>
      <c r="RM13" s="370">
        <v>491</v>
      </c>
      <c r="RN13" s="370">
        <v>198</v>
      </c>
      <c r="RO13" s="370">
        <v>195</v>
      </c>
      <c r="RP13" s="370">
        <v>312</v>
      </c>
      <c r="RQ13" s="370">
        <v>397</v>
      </c>
      <c r="RR13" s="370">
        <v>709</v>
      </c>
      <c r="RS13" s="370">
        <v>677</v>
      </c>
      <c r="RT13" s="370">
        <v>824</v>
      </c>
      <c r="RU13" s="370">
        <v>974</v>
      </c>
      <c r="RV13" s="370">
        <v>723</v>
      </c>
      <c r="RW13" s="370">
        <v>121</v>
      </c>
      <c r="RX13" s="370">
        <v>651</v>
      </c>
      <c r="RY13" s="370">
        <v>372</v>
      </c>
      <c r="RZ13" s="370">
        <v>470</v>
      </c>
      <c r="SA13" s="370">
        <v>854</v>
      </c>
      <c r="SB13" s="370">
        <v>164</v>
      </c>
      <c r="SC13" s="370">
        <v>36</v>
      </c>
      <c r="SD13" s="370">
        <v>419</v>
      </c>
      <c r="SE13" s="370">
        <v>367</v>
      </c>
      <c r="SF13" s="370">
        <v>994</v>
      </c>
      <c r="SG13" s="370">
        <v>635</v>
      </c>
      <c r="SH13" s="370">
        <v>321</v>
      </c>
      <c r="SI13" s="370">
        <v>519</v>
      </c>
      <c r="SJ13" s="370">
        <v>985</v>
      </c>
      <c r="SK13" s="370">
        <v>87</v>
      </c>
      <c r="SL13" s="370">
        <v>185</v>
      </c>
      <c r="SM13" s="370">
        <v>322</v>
      </c>
      <c r="SN13" s="370">
        <v>260</v>
      </c>
      <c r="SO13" s="370">
        <v>587</v>
      </c>
      <c r="SP13" s="370">
        <v>221</v>
      </c>
      <c r="SQ13" s="370">
        <v>109</v>
      </c>
      <c r="SR13" s="370">
        <v>184</v>
      </c>
      <c r="SS13" s="370">
        <v>554</v>
      </c>
      <c r="ST13" s="370">
        <v>925</v>
      </c>
      <c r="SU13" s="370">
        <v>406</v>
      </c>
      <c r="SV13" s="370">
        <v>357</v>
      </c>
      <c r="SW13" s="370">
        <v>636</v>
      </c>
      <c r="SX13" s="370">
        <v>38</v>
      </c>
      <c r="SY13" s="370">
        <v>26</v>
      </c>
      <c r="SZ13" s="370">
        <v>659</v>
      </c>
      <c r="TA13" s="370">
        <v>799</v>
      </c>
      <c r="TB13" s="370">
        <v>563</v>
      </c>
      <c r="TC13" s="370">
        <v>14</v>
      </c>
      <c r="TD13" s="370">
        <v>199</v>
      </c>
      <c r="TE13" s="370">
        <v>188</v>
      </c>
      <c r="TF13" s="370">
        <v>697</v>
      </c>
      <c r="TG13" s="370">
        <v>682</v>
      </c>
      <c r="TH13" s="370">
        <v>316</v>
      </c>
      <c r="TI13" s="370">
        <v>250</v>
      </c>
      <c r="TJ13" s="370">
        <v>969</v>
      </c>
      <c r="TK13" s="370">
        <v>569</v>
      </c>
      <c r="TL13" s="370">
        <v>664</v>
      </c>
      <c r="TM13" s="370">
        <v>654</v>
      </c>
      <c r="TN13" s="370">
        <v>93</v>
      </c>
      <c r="TO13" s="370">
        <v>477</v>
      </c>
      <c r="TP13" s="370">
        <v>77</v>
      </c>
      <c r="TQ13" s="370">
        <v>314</v>
      </c>
      <c r="TR13" s="370">
        <v>69</v>
      </c>
      <c r="TS13" s="370">
        <v>445</v>
      </c>
      <c r="TT13" s="370">
        <v>687</v>
      </c>
      <c r="TU13" s="370">
        <v>434</v>
      </c>
      <c r="TV13" s="370">
        <v>138</v>
      </c>
      <c r="TW13" s="370">
        <v>800</v>
      </c>
      <c r="TX13" s="370">
        <v>852</v>
      </c>
      <c r="TY13" s="370">
        <v>414</v>
      </c>
      <c r="TZ13" s="370">
        <v>794</v>
      </c>
      <c r="UA13" s="370">
        <v>65</v>
      </c>
      <c r="UB13" s="370">
        <v>152</v>
      </c>
      <c r="UC13" s="370">
        <v>940</v>
      </c>
      <c r="UD13" s="370">
        <v>755</v>
      </c>
      <c r="UE13" s="370">
        <v>67</v>
      </c>
      <c r="UF13" s="370">
        <v>505</v>
      </c>
      <c r="UG13" s="370">
        <v>934</v>
      </c>
      <c r="UH13" s="370">
        <v>3</v>
      </c>
      <c r="UI13" s="370">
        <v>863</v>
      </c>
      <c r="UJ13" s="370">
        <v>989</v>
      </c>
      <c r="UK13" s="370">
        <v>578</v>
      </c>
      <c r="UL13" s="370">
        <v>816</v>
      </c>
      <c r="UM13" s="370">
        <v>706</v>
      </c>
      <c r="UN13" s="370">
        <v>982</v>
      </c>
      <c r="UO13" s="370">
        <v>278</v>
      </c>
      <c r="UP13" s="370">
        <v>647</v>
      </c>
      <c r="UQ13" s="370">
        <v>196</v>
      </c>
      <c r="UR13" s="370">
        <v>86</v>
      </c>
      <c r="US13" s="370">
        <v>744</v>
      </c>
      <c r="UT13" s="370">
        <v>245</v>
      </c>
      <c r="UU13" s="370">
        <v>102</v>
      </c>
      <c r="UV13" s="370">
        <v>172</v>
      </c>
      <c r="UW13" s="370">
        <v>873</v>
      </c>
      <c r="UX13" s="370">
        <v>600</v>
      </c>
      <c r="UY13" s="370">
        <v>501</v>
      </c>
      <c r="UZ13" s="370">
        <v>355</v>
      </c>
      <c r="VA13" s="370">
        <v>860</v>
      </c>
      <c r="VB13" s="370">
        <v>950</v>
      </c>
      <c r="VC13" s="370">
        <v>667</v>
      </c>
      <c r="VD13" s="370">
        <v>996</v>
      </c>
      <c r="VE13" s="370">
        <v>98</v>
      </c>
      <c r="VF13" s="370">
        <v>781</v>
      </c>
      <c r="VG13" s="370">
        <v>166</v>
      </c>
      <c r="VH13" s="370">
        <v>705</v>
      </c>
      <c r="VI13" s="370">
        <v>297</v>
      </c>
      <c r="VJ13" s="370">
        <v>844</v>
      </c>
      <c r="VK13" s="370">
        <v>812</v>
      </c>
      <c r="VL13" s="370">
        <v>347</v>
      </c>
      <c r="VM13" s="370">
        <v>386</v>
      </c>
      <c r="VN13" s="370">
        <v>91</v>
      </c>
      <c r="VO13" s="370">
        <v>626</v>
      </c>
      <c r="VP13" s="370">
        <v>39</v>
      </c>
      <c r="VQ13" s="370">
        <v>520</v>
      </c>
      <c r="VR13" s="370">
        <v>806</v>
      </c>
      <c r="VS13" s="370">
        <v>930</v>
      </c>
      <c r="VT13" s="370">
        <v>136</v>
      </c>
      <c r="VU13" s="370">
        <v>120</v>
      </c>
      <c r="VV13" s="370">
        <v>459</v>
      </c>
      <c r="VW13" s="370">
        <v>262</v>
      </c>
      <c r="VX13" s="370">
        <v>263</v>
      </c>
      <c r="VY13" s="370">
        <v>888</v>
      </c>
      <c r="VZ13" s="370">
        <v>771</v>
      </c>
      <c r="WA13" s="370">
        <v>436</v>
      </c>
      <c r="WB13" s="370">
        <v>274</v>
      </c>
      <c r="WC13" s="370">
        <v>730</v>
      </c>
      <c r="WD13" s="370">
        <v>758</v>
      </c>
      <c r="WE13" s="370">
        <v>497</v>
      </c>
      <c r="WF13" s="370">
        <v>287</v>
      </c>
      <c r="WG13" s="370">
        <v>836</v>
      </c>
      <c r="WH13" s="370">
        <v>630</v>
      </c>
      <c r="WI13" s="370">
        <v>738</v>
      </c>
      <c r="WJ13" s="370">
        <v>661</v>
      </c>
      <c r="WK13" s="370">
        <v>608</v>
      </c>
      <c r="WL13" s="370">
        <v>903</v>
      </c>
      <c r="WM13" s="370">
        <v>715</v>
      </c>
      <c r="WN13" s="370">
        <v>6</v>
      </c>
      <c r="WO13" s="370">
        <v>749</v>
      </c>
      <c r="WP13" s="370">
        <v>292</v>
      </c>
      <c r="WQ13" s="370">
        <v>237</v>
      </c>
      <c r="WR13" s="370">
        <v>212</v>
      </c>
      <c r="WS13" s="370">
        <v>150</v>
      </c>
      <c r="WT13" s="370">
        <v>814</v>
      </c>
      <c r="WU13" s="370">
        <v>335</v>
      </c>
      <c r="WV13" s="370">
        <v>340</v>
      </c>
      <c r="WW13" s="370">
        <v>30</v>
      </c>
      <c r="WX13" s="370">
        <v>676</v>
      </c>
      <c r="WY13" s="370">
        <v>334</v>
      </c>
      <c r="WZ13" s="370">
        <v>809</v>
      </c>
      <c r="XA13" s="370">
        <v>795</v>
      </c>
      <c r="XB13" s="370">
        <v>384</v>
      </c>
      <c r="XC13" s="370">
        <v>778</v>
      </c>
      <c r="XD13" s="370">
        <v>207</v>
      </c>
      <c r="XE13" s="370">
        <v>104</v>
      </c>
      <c r="XF13" s="370">
        <v>670</v>
      </c>
      <c r="XG13" s="370">
        <v>465</v>
      </c>
      <c r="XH13" s="370">
        <v>376</v>
      </c>
      <c r="XI13" s="370">
        <v>913</v>
      </c>
      <c r="XJ13" s="370">
        <v>538</v>
      </c>
      <c r="XK13" s="370">
        <v>430</v>
      </c>
      <c r="XL13" s="370">
        <v>483</v>
      </c>
      <c r="XM13" s="370">
        <v>371</v>
      </c>
      <c r="XN13" s="370">
        <v>197</v>
      </c>
      <c r="XO13" s="370">
        <v>992</v>
      </c>
      <c r="XP13" s="370">
        <v>837</v>
      </c>
      <c r="XQ13" s="370">
        <v>926</v>
      </c>
      <c r="XR13" s="370">
        <v>144</v>
      </c>
      <c r="XS13" s="370">
        <v>703</v>
      </c>
      <c r="XT13" s="370">
        <v>64</v>
      </c>
      <c r="XU13" s="370">
        <v>242</v>
      </c>
      <c r="XV13" s="370">
        <v>137</v>
      </c>
      <c r="XW13" s="370">
        <v>349</v>
      </c>
      <c r="XX13" s="370">
        <v>53</v>
      </c>
      <c r="XY13" s="370">
        <v>246</v>
      </c>
      <c r="XZ13" s="370">
        <v>149</v>
      </c>
      <c r="YA13" s="370">
        <v>998</v>
      </c>
      <c r="YB13" s="370">
        <v>910</v>
      </c>
      <c r="YC13" s="370">
        <v>108</v>
      </c>
      <c r="YD13" s="370">
        <v>427</v>
      </c>
      <c r="YE13" s="370">
        <v>947</v>
      </c>
      <c r="YF13" s="370">
        <v>979</v>
      </c>
      <c r="YG13" s="370">
        <v>265</v>
      </c>
      <c r="YH13" s="370">
        <v>455</v>
      </c>
      <c r="YI13" s="370">
        <v>735</v>
      </c>
      <c r="YJ13" s="370">
        <v>883</v>
      </c>
      <c r="YK13" s="370">
        <v>391</v>
      </c>
      <c r="YL13" s="370">
        <v>956</v>
      </c>
      <c r="YM13" s="370">
        <v>165</v>
      </c>
      <c r="YN13" s="370">
        <v>492</v>
      </c>
      <c r="YO13" s="370">
        <v>403</v>
      </c>
      <c r="YP13" s="370">
        <v>941</v>
      </c>
      <c r="YQ13" s="370">
        <v>301</v>
      </c>
      <c r="YR13" s="370">
        <v>909</v>
      </c>
      <c r="YS13" s="370">
        <v>493</v>
      </c>
      <c r="YT13" s="370">
        <v>633</v>
      </c>
      <c r="YU13" s="370">
        <v>446</v>
      </c>
      <c r="YV13" s="370">
        <v>503</v>
      </c>
      <c r="YW13" s="370">
        <v>59</v>
      </c>
      <c r="YX13" s="370">
        <v>534</v>
      </c>
      <c r="YY13" s="370">
        <v>124</v>
      </c>
      <c r="YZ13" s="370">
        <v>884</v>
      </c>
      <c r="ZA13" s="370">
        <v>810</v>
      </c>
      <c r="ZB13" s="370">
        <v>358</v>
      </c>
      <c r="ZC13" s="370">
        <v>161</v>
      </c>
      <c r="ZD13" s="370">
        <v>921</v>
      </c>
      <c r="ZE13" s="370">
        <v>649</v>
      </c>
      <c r="ZF13" s="370">
        <v>123</v>
      </c>
      <c r="ZG13" s="370">
        <v>603</v>
      </c>
      <c r="ZH13" s="370">
        <v>719</v>
      </c>
      <c r="ZI13" s="370">
        <v>761</v>
      </c>
      <c r="ZJ13" s="370">
        <v>52</v>
      </c>
      <c r="ZK13" s="370">
        <v>748</v>
      </c>
      <c r="ZL13" s="370">
        <v>653</v>
      </c>
      <c r="ZM13" s="370">
        <v>570</v>
      </c>
      <c r="ZN13" s="370">
        <v>644</v>
      </c>
      <c r="ZO13" s="370">
        <v>129</v>
      </c>
      <c r="ZP13" s="370">
        <v>313</v>
      </c>
      <c r="ZQ13" s="370">
        <v>752</v>
      </c>
      <c r="ZR13" s="370">
        <v>620</v>
      </c>
      <c r="ZS13" s="370">
        <v>583</v>
      </c>
      <c r="ZT13" s="370">
        <v>601</v>
      </c>
      <c r="ZU13" s="370">
        <v>219</v>
      </c>
      <c r="ZV13" s="370">
        <v>978</v>
      </c>
      <c r="ZW13" s="370">
        <v>125</v>
      </c>
      <c r="ZX13" s="370">
        <v>596</v>
      </c>
      <c r="ZY13" s="370">
        <v>163</v>
      </c>
      <c r="ZZ13" s="370">
        <v>951</v>
      </c>
      <c r="AAA13" s="370">
        <v>82</v>
      </c>
      <c r="AAB13" s="370">
        <v>675</v>
      </c>
      <c r="AAC13" s="370">
        <v>12</v>
      </c>
      <c r="AAD13" s="370">
        <v>34</v>
      </c>
      <c r="AAE13" s="370">
        <v>995</v>
      </c>
      <c r="AAF13" s="370">
        <v>456</v>
      </c>
      <c r="AAG13" s="370">
        <v>442</v>
      </c>
      <c r="AAH13" s="370">
        <v>968</v>
      </c>
      <c r="AAI13" s="370">
        <v>663</v>
      </c>
      <c r="AAJ13" s="370">
        <v>783</v>
      </c>
      <c r="AAK13" s="370">
        <v>363</v>
      </c>
      <c r="AAL13" s="370">
        <v>728</v>
      </c>
      <c r="AAM13" s="370">
        <v>134</v>
      </c>
      <c r="AAN13" s="370">
        <v>789</v>
      </c>
      <c r="AAO13" s="370">
        <v>970</v>
      </c>
      <c r="AAP13" s="370">
        <v>573</v>
      </c>
      <c r="AAQ13" s="370">
        <v>724</v>
      </c>
      <c r="AAR13" s="370">
        <v>833</v>
      </c>
      <c r="AAS13" s="370">
        <v>674</v>
      </c>
      <c r="AAT13" s="370">
        <v>966</v>
      </c>
      <c r="AAU13" s="370">
        <v>972</v>
      </c>
      <c r="AAV13" s="370">
        <v>518</v>
      </c>
      <c r="AAW13" s="370">
        <v>153</v>
      </c>
      <c r="AAX13" s="370">
        <v>657</v>
      </c>
      <c r="AAY13" s="370">
        <v>673</v>
      </c>
      <c r="AAZ13" s="370">
        <v>712</v>
      </c>
      <c r="ABA13" s="370">
        <v>338</v>
      </c>
      <c r="ABB13" s="370">
        <v>646</v>
      </c>
      <c r="ABC13" s="370">
        <v>887</v>
      </c>
      <c r="ABD13" s="370">
        <v>550</v>
      </c>
      <c r="ABE13" s="370">
        <v>409</v>
      </c>
      <c r="ABF13" s="370">
        <v>143</v>
      </c>
      <c r="ABG13" s="370">
        <v>917</v>
      </c>
      <c r="ABH13" s="370">
        <v>348</v>
      </c>
      <c r="ABI13" s="370">
        <v>790</v>
      </c>
      <c r="ABJ13" s="370">
        <v>669</v>
      </c>
      <c r="ABK13" s="370">
        <v>296</v>
      </c>
      <c r="ABL13" s="370">
        <v>772</v>
      </c>
      <c r="ABM13" s="370">
        <v>135</v>
      </c>
      <c r="ABN13" s="370">
        <v>948</v>
      </c>
      <c r="ABO13" s="370">
        <v>866</v>
      </c>
      <c r="ABP13" s="370">
        <v>652</v>
      </c>
      <c r="ABQ13" s="370">
        <v>400</v>
      </c>
      <c r="ABR13" s="370">
        <v>962</v>
      </c>
      <c r="ABS13" s="370">
        <v>624</v>
      </c>
      <c r="ABT13" s="370">
        <v>106</v>
      </c>
      <c r="ABU13" s="370">
        <v>757</v>
      </c>
      <c r="ABV13" s="370">
        <v>954</v>
      </c>
      <c r="ABW13" s="370">
        <v>906</v>
      </c>
      <c r="ABX13" s="370">
        <v>509</v>
      </c>
      <c r="ABY13" s="370">
        <v>605</v>
      </c>
      <c r="ABZ13" s="370">
        <v>412</v>
      </c>
      <c r="ACA13" s="370">
        <v>249</v>
      </c>
      <c r="ACB13" s="370">
        <v>468</v>
      </c>
      <c r="ACC13" s="370">
        <v>643</v>
      </c>
      <c r="ACD13" s="370">
        <v>73</v>
      </c>
      <c r="ACE13" s="370">
        <v>471</v>
      </c>
      <c r="ACF13" s="370">
        <v>846</v>
      </c>
      <c r="ACG13" s="370">
        <v>797</v>
      </c>
      <c r="ACH13" s="370">
        <v>939</v>
      </c>
      <c r="ACI13" s="370">
        <v>592</v>
      </c>
      <c r="ACJ13" s="370">
        <v>743</v>
      </c>
      <c r="ACK13" s="370">
        <v>229</v>
      </c>
      <c r="ACL13" s="370">
        <v>232</v>
      </c>
      <c r="ACM13" s="370">
        <v>942</v>
      </c>
      <c r="ACN13" s="370">
        <v>547</v>
      </c>
      <c r="ACO13" s="370">
        <v>369</v>
      </c>
      <c r="ACP13" s="370">
        <v>437</v>
      </c>
      <c r="ACQ13" s="370">
        <v>50</v>
      </c>
      <c r="ACR13" s="370">
        <v>855</v>
      </c>
      <c r="ACS13" s="370">
        <v>911</v>
      </c>
      <c r="ACT13" s="370">
        <v>299</v>
      </c>
      <c r="ACU13" s="370">
        <v>751</v>
      </c>
      <c r="ACV13" s="370">
        <v>524</v>
      </c>
      <c r="ACW13" s="370">
        <v>760</v>
      </c>
      <c r="ACX13" s="370">
        <v>826</v>
      </c>
      <c r="ACY13" s="370">
        <v>45</v>
      </c>
      <c r="ACZ13" s="370">
        <v>685</v>
      </c>
      <c r="ADA13" s="370">
        <v>89</v>
      </c>
      <c r="ADB13" s="370">
        <v>222</v>
      </c>
      <c r="ADC13" s="370">
        <v>270</v>
      </c>
      <c r="ADD13" s="370">
        <v>693</v>
      </c>
      <c r="ADE13" s="370">
        <v>341</v>
      </c>
      <c r="ADF13" s="370">
        <v>990</v>
      </c>
      <c r="ADG13" s="370">
        <v>973</v>
      </c>
      <c r="ADH13" s="370">
        <v>160</v>
      </c>
      <c r="ADI13" s="370">
        <v>194</v>
      </c>
      <c r="ADJ13" s="370">
        <v>876</v>
      </c>
      <c r="ADK13" s="370">
        <v>945</v>
      </c>
      <c r="ADL13" s="370">
        <v>958</v>
      </c>
      <c r="ADM13" s="370">
        <v>562</v>
      </c>
      <c r="ADN13" s="370">
        <v>870</v>
      </c>
      <c r="ADO13" s="370">
        <v>238</v>
      </c>
      <c r="ADP13" s="370">
        <v>190</v>
      </c>
      <c r="ADQ13" s="370">
        <v>606</v>
      </c>
      <c r="ADR13" s="370">
        <v>183</v>
      </c>
      <c r="ADS13" s="370">
        <v>148</v>
      </c>
      <c r="ADT13" s="370">
        <v>227</v>
      </c>
      <c r="ADU13" s="370">
        <v>775</v>
      </c>
      <c r="ADV13" s="370">
        <v>325</v>
      </c>
      <c r="ADW13" s="370">
        <v>247</v>
      </c>
      <c r="ADX13" s="370">
        <v>668</v>
      </c>
      <c r="ADY13" s="370">
        <v>750</v>
      </c>
      <c r="ADZ13" s="370">
        <v>41</v>
      </c>
      <c r="AEA13" s="370">
        <v>308</v>
      </c>
      <c r="AEB13" s="370">
        <v>393</v>
      </c>
      <c r="AEC13" s="370">
        <v>424</v>
      </c>
      <c r="AED13" s="370">
        <v>302</v>
      </c>
      <c r="AEE13" s="370">
        <v>408</v>
      </c>
      <c r="AEF13" s="370">
        <v>515</v>
      </c>
      <c r="AEG13" s="370">
        <v>1000</v>
      </c>
      <c r="AEH13" s="370">
        <v>360</v>
      </c>
      <c r="AEI13" s="370">
        <v>845</v>
      </c>
      <c r="AEJ13" s="370">
        <v>377</v>
      </c>
      <c r="AEK13" s="370">
        <v>912</v>
      </c>
      <c r="AEL13" s="370">
        <v>701</v>
      </c>
      <c r="AEM13" s="370">
        <v>131</v>
      </c>
      <c r="AEN13" s="370">
        <v>618</v>
      </c>
      <c r="AEO13" s="370">
        <v>808</v>
      </c>
      <c r="AEP13" s="370">
        <v>49</v>
      </c>
      <c r="AEQ13" s="370">
        <v>114</v>
      </c>
      <c r="AER13" s="370">
        <v>84</v>
      </c>
      <c r="AES13" s="370">
        <v>629</v>
      </c>
      <c r="AET13" s="370">
        <v>416</v>
      </c>
      <c r="AEU13" s="370">
        <v>829</v>
      </c>
      <c r="AEV13" s="370">
        <v>894</v>
      </c>
      <c r="AEW13" s="370">
        <v>560</v>
      </c>
      <c r="AEX13" s="370">
        <v>13</v>
      </c>
      <c r="AEY13" s="370">
        <v>568</v>
      </c>
      <c r="AEZ13" s="370">
        <v>411</v>
      </c>
      <c r="AFA13" s="370">
        <v>993</v>
      </c>
      <c r="AFB13" s="370">
        <v>350</v>
      </c>
      <c r="AFC13" s="370">
        <v>879</v>
      </c>
      <c r="AFD13" s="370">
        <v>252</v>
      </c>
      <c r="AFE13" s="370">
        <v>640</v>
      </c>
      <c r="AFF13" s="370">
        <v>159</v>
      </c>
      <c r="AFG13" s="370">
        <v>585</v>
      </c>
      <c r="AFH13" s="370">
        <v>271</v>
      </c>
      <c r="AFI13" s="370">
        <v>407</v>
      </c>
      <c r="AFJ13" s="370">
        <v>425</v>
      </c>
      <c r="AFK13" s="370">
        <v>717</v>
      </c>
      <c r="AFL13" s="370">
        <v>593</v>
      </c>
      <c r="AFM13" s="370">
        <v>489</v>
      </c>
      <c r="AFN13" s="370">
        <v>390</v>
      </c>
      <c r="AFO13" s="370">
        <v>586</v>
      </c>
      <c r="AFP13" s="370">
        <v>580</v>
      </c>
      <c r="AFQ13" s="370">
        <v>283</v>
      </c>
      <c r="AFR13" s="370">
        <v>548</v>
      </c>
      <c r="AFS13" s="370">
        <v>742</v>
      </c>
      <c r="AFT13" s="370">
        <v>832</v>
      </c>
      <c r="AFU13" s="370">
        <v>496</v>
      </c>
      <c r="AFV13" s="370">
        <v>614</v>
      </c>
      <c r="AFW13" s="370">
        <v>977</v>
      </c>
      <c r="AFX13" s="370">
        <v>217</v>
      </c>
      <c r="AFY13" s="370">
        <v>17</v>
      </c>
      <c r="AFZ13" s="370">
        <v>597</v>
      </c>
      <c r="AGA13" s="370">
        <v>342</v>
      </c>
      <c r="AGB13" s="370">
        <v>864</v>
      </c>
      <c r="AGC13" s="370">
        <v>56</v>
      </c>
      <c r="AGD13" s="370">
        <v>731</v>
      </c>
      <c r="AGE13" s="370">
        <v>155</v>
      </c>
      <c r="AGF13" s="370">
        <v>107</v>
      </c>
      <c r="AGG13" s="370">
        <v>27</v>
      </c>
      <c r="AGH13" s="370">
        <v>508</v>
      </c>
      <c r="AGI13" s="370">
        <v>955</v>
      </c>
      <c r="AGJ13" s="370">
        <v>589</v>
      </c>
      <c r="AGK13" s="370">
        <v>607</v>
      </c>
      <c r="AGL13" s="370">
        <v>655</v>
      </c>
      <c r="AGM13" s="370">
        <v>551</v>
      </c>
      <c r="AGN13" s="370">
        <v>151</v>
      </c>
      <c r="AGO13" s="370">
        <v>710</v>
      </c>
      <c r="AGP13" s="370">
        <v>167</v>
      </c>
      <c r="AGQ13" s="370">
        <v>967</v>
      </c>
      <c r="AGR13" s="370">
        <v>932</v>
      </c>
      <c r="AGS13" s="370">
        <v>536</v>
      </c>
      <c r="AGT13" s="370">
        <v>290</v>
      </c>
      <c r="AGU13" s="370">
        <v>535</v>
      </c>
      <c r="AGV13" s="370">
        <v>266</v>
      </c>
      <c r="AGW13" s="370">
        <v>488</v>
      </c>
      <c r="AGX13" s="370">
        <v>507</v>
      </c>
      <c r="AGY13" s="370">
        <v>786</v>
      </c>
      <c r="AGZ13" s="370">
        <v>793</v>
      </c>
      <c r="AHA13" s="370">
        <v>239</v>
      </c>
      <c r="AHB13" s="370">
        <v>558</v>
      </c>
      <c r="AHC13" s="370">
        <v>537</v>
      </c>
      <c r="AHD13" s="370">
        <v>345</v>
      </c>
      <c r="AHE13" s="370">
        <v>733</v>
      </c>
      <c r="AHF13" s="370">
        <v>405</v>
      </c>
      <c r="AHG13" s="370">
        <v>820</v>
      </c>
      <c r="AHH13" s="370">
        <v>62</v>
      </c>
      <c r="AHI13" s="370">
        <v>132</v>
      </c>
      <c r="AHJ13" s="370">
        <v>318</v>
      </c>
      <c r="AHK13" s="370">
        <v>949</v>
      </c>
      <c r="AHL13" s="370">
        <v>300</v>
      </c>
      <c r="AHM13" s="370">
        <v>881</v>
      </c>
      <c r="AHN13" s="370">
        <v>791</v>
      </c>
      <c r="AHO13" s="370">
        <v>485</v>
      </c>
      <c r="AHP13" s="370">
        <v>678</v>
      </c>
      <c r="AHQ13" s="370">
        <v>637</v>
      </c>
      <c r="AHR13" s="370">
        <v>541</v>
      </c>
      <c r="AHS13" s="370">
        <v>192</v>
      </c>
      <c r="AHT13" s="370">
        <v>43</v>
      </c>
      <c r="AHU13" s="370">
        <v>326</v>
      </c>
      <c r="AHV13" s="370">
        <v>559</v>
      </c>
      <c r="AHW13" s="370">
        <v>147</v>
      </c>
      <c r="AHX13" s="370">
        <v>526</v>
      </c>
      <c r="AHY13" s="370">
        <v>133</v>
      </c>
      <c r="AHZ13" s="370">
        <v>68</v>
      </c>
      <c r="AIA13" s="370">
        <v>662</v>
      </c>
      <c r="AIB13" s="370">
        <v>484</v>
      </c>
      <c r="AIC13" s="370">
        <v>494</v>
      </c>
      <c r="AID13" s="370">
        <v>602</v>
      </c>
      <c r="AIE13" s="370">
        <v>267</v>
      </c>
      <c r="AIF13" s="370">
        <v>506</v>
      </c>
      <c r="AIG13" s="370">
        <v>48</v>
      </c>
      <c r="AIH13" s="370">
        <v>871</v>
      </c>
      <c r="AII13" s="370">
        <v>774</v>
      </c>
      <c r="AIJ13" s="370">
        <v>495</v>
      </c>
      <c r="AIK13" s="370">
        <v>763</v>
      </c>
      <c r="AIL13" s="370">
        <v>859</v>
      </c>
      <c r="AIM13" s="370">
        <v>231</v>
      </c>
      <c r="AIN13" s="370">
        <v>546</v>
      </c>
      <c r="AIO13" s="370">
        <v>785</v>
      </c>
      <c r="AIP13" s="370">
        <v>801</v>
      </c>
      <c r="AIQ13" s="370">
        <v>927</v>
      </c>
      <c r="AIR13" s="370">
        <v>2</v>
      </c>
      <c r="AIS13" s="370">
        <v>561</v>
      </c>
      <c r="AIT13" s="370">
        <v>204</v>
      </c>
      <c r="AIU13" s="370">
        <v>428</v>
      </c>
      <c r="AIV13" s="370">
        <v>528</v>
      </c>
      <c r="AIW13" s="370">
        <v>737</v>
      </c>
      <c r="AIX13" s="370">
        <v>788</v>
      </c>
      <c r="AIY13" s="370">
        <v>539</v>
      </c>
      <c r="AIZ13" s="370">
        <v>938</v>
      </c>
      <c r="AJA13" s="370">
        <v>264</v>
      </c>
      <c r="AJB13" s="370">
        <v>564</v>
      </c>
      <c r="AJC13" s="370">
        <v>280</v>
      </c>
      <c r="AJD13" s="370">
        <v>359</v>
      </c>
      <c r="AJE13" s="370">
        <v>309</v>
      </c>
      <c r="AJF13" s="370">
        <v>739</v>
      </c>
      <c r="AJG13" s="370">
        <v>988</v>
      </c>
      <c r="AJH13" s="370">
        <v>168</v>
      </c>
      <c r="AJI13" s="370">
        <v>307</v>
      </c>
      <c r="AJJ13" s="370">
        <v>830</v>
      </c>
      <c r="AJK13" s="370">
        <v>210</v>
      </c>
      <c r="AJL13" s="370">
        <v>976</v>
      </c>
      <c r="AJM13" s="370">
        <v>937</v>
      </c>
      <c r="AJN13" s="370">
        <v>565</v>
      </c>
      <c r="AJO13" s="370">
        <v>708</v>
      </c>
      <c r="AJP13" s="370">
        <v>631</v>
      </c>
      <c r="AJQ13" s="370">
        <v>99</v>
      </c>
      <c r="AJR13" s="370">
        <v>918</v>
      </c>
      <c r="AJS13" s="370">
        <v>582</v>
      </c>
      <c r="AJT13" s="370">
        <v>255</v>
      </c>
      <c r="AJU13" s="370">
        <v>991</v>
      </c>
      <c r="AJV13" s="370">
        <v>141</v>
      </c>
      <c r="AJW13" s="370">
        <v>97</v>
      </c>
      <c r="AJX13" s="370">
        <v>216</v>
      </c>
      <c r="AJY13" s="370">
        <v>33</v>
      </c>
      <c r="AJZ13" s="370">
        <v>734</v>
      </c>
      <c r="AKA13" s="370">
        <v>835</v>
      </c>
      <c r="AKB13" s="370">
        <v>117</v>
      </c>
      <c r="AKC13" s="370">
        <v>900</v>
      </c>
      <c r="AKD13" s="370">
        <v>420</v>
      </c>
      <c r="AKE13" s="370">
        <v>571</v>
      </c>
      <c r="AKF13" s="370">
        <v>838</v>
      </c>
      <c r="AKG13" s="370">
        <v>521</v>
      </c>
      <c r="AKH13" s="370">
        <v>187</v>
      </c>
      <c r="AKI13" s="370">
        <v>351</v>
      </c>
      <c r="AKJ13" s="370">
        <v>474</v>
      </c>
      <c r="AKK13" s="370">
        <v>58</v>
      </c>
      <c r="AKL13" s="370">
        <v>273</v>
      </c>
      <c r="AKM13" s="370">
        <v>511</v>
      </c>
      <c r="AKN13" s="370">
        <v>378</v>
      </c>
      <c r="AKO13" s="370">
        <v>959</v>
      </c>
      <c r="AKP13" s="370">
        <v>173</v>
      </c>
      <c r="AKQ13" s="370">
        <v>576</v>
      </c>
      <c r="AKR13" s="370">
        <v>211</v>
      </c>
      <c r="AKS13" s="370">
        <v>885</v>
      </c>
      <c r="AKT13" s="370">
        <v>625</v>
      </c>
      <c r="AKU13" s="370">
        <v>333</v>
      </c>
      <c r="AKV13" s="370">
        <v>777</v>
      </c>
      <c r="AKW13" s="370">
        <v>764</v>
      </c>
      <c r="AKX13" s="370">
        <v>615</v>
      </c>
      <c r="AKY13" s="370">
        <v>875</v>
      </c>
      <c r="AKZ13" s="370">
        <v>235</v>
      </c>
      <c r="ALA13" s="370">
        <v>773</v>
      </c>
      <c r="ALB13" s="370">
        <v>374</v>
      </c>
      <c r="ALC13" s="370">
        <v>473</v>
      </c>
      <c r="ALD13" s="370">
        <v>924</v>
      </c>
      <c r="ALE13" s="370">
        <v>329</v>
      </c>
      <c r="ALF13" s="370">
        <v>398</v>
      </c>
      <c r="ALG13" s="370">
        <v>666</v>
      </c>
      <c r="ALH13" s="370">
        <v>480</v>
      </c>
      <c r="ALI13" s="370">
        <v>130</v>
      </c>
      <c r="ALJ13" s="370">
        <v>431</v>
      </c>
      <c r="ALK13" s="370">
        <v>286</v>
      </c>
      <c r="ALL13" s="370">
        <v>726</v>
      </c>
      <c r="ALM13" s="370">
        <v>85</v>
      </c>
      <c r="ALN13" s="370">
        <v>453</v>
      </c>
      <c r="ALO13" s="370">
        <v>364</v>
      </c>
      <c r="ALP13" s="370">
        <v>817</v>
      </c>
      <c r="ALQ13" s="370">
        <v>368</v>
      </c>
      <c r="ALR13" s="370">
        <v>696</v>
      </c>
      <c r="ALS13" s="370">
        <v>218</v>
      </c>
      <c r="ALT13" s="370">
        <v>90</v>
      </c>
      <c r="ALU13" s="370">
        <v>417</v>
      </c>
      <c r="ALV13" s="370">
        <v>658</v>
      </c>
      <c r="ALW13" s="370">
        <v>375</v>
      </c>
      <c r="ALX13" s="370">
        <v>175</v>
      </c>
      <c r="ALY13" s="370">
        <v>897</v>
      </c>
      <c r="ALZ13" s="370">
        <v>71</v>
      </c>
      <c r="AMA13" s="370">
        <v>656</v>
      </c>
      <c r="AMB13" s="370">
        <v>931</v>
      </c>
      <c r="AMC13" s="370">
        <v>741</v>
      </c>
      <c r="AMD13" s="370">
        <v>943</v>
      </c>
      <c r="AME13" s="370">
        <v>101</v>
      </c>
      <c r="AMF13" s="370">
        <v>469</v>
      </c>
    </row>
    <row r="14" spans="1:4598" s="370" customFormat="1" ht="17" customHeight="1" thickBot="1" x14ac:dyDescent="0.25">
      <c r="A14" s="394">
        <v>-1.8194214190082945</v>
      </c>
      <c r="B14" s="529"/>
      <c r="C14" s="487" t="s">
        <v>151</v>
      </c>
      <c r="D14" s="488"/>
      <c r="E14" s="33">
        <v>0</v>
      </c>
      <c r="F14" s="350"/>
      <c r="G14" s="321"/>
      <c r="H14" s="342"/>
      <c r="I14" s="489" t="s">
        <v>60</v>
      </c>
      <c r="J14" s="485"/>
      <c r="K14" s="486"/>
      <c r="L14" s="182"/>
      <c r="M14" s="182"/>
      <c r="N14" s="186"/>
      <c r="O14" s="127"/>
      <c r="P14" s="542"/>
      <c r="Q14" s="543"/>
      <c r="R14" s="543"/>
      <c r="S14" s="543"/>
      <c r="T14" s="544"/>
      <c r="BO14" s="137"/>
      <c r="BP14" s="137"/>
      <c r="BQ14" s="137"/>
      <c r="BR14" s="137"/>
      <c r="BS14" s="137"/>
      <c r="BT14" s="137"/>
      <c r="BU14" s="137"/>
      <c r="BV14" s="137"/>
      <c r="BW14" s="137"/>
      <c r="BX14" s="137"/>
      <c r="BY14" s="137"/>
      <c r="BZ14" s="137"/>
      <c r="CA14" s="137"/>
      <c r="CB14" s="137"/>
      <c r="CC14" s="137"/>
      <c r="CD14" s="137"/>
      <c r="CE14" s="137"/>
      <c r="CF14" s="137"/>
      <c r="CG14" s="137"/>
      <c r="CH14" s="137"/>
      <c r="CI14" s="137"/>
      <c r="CJ14" s="137"/>
      <c r="CK14" s="137"/>
      <c r="CL14" s="137"/>
      <c r="CM14" s="137"/>
      <c r="CN14" s="137"/>
      <c r="CO14" s="137"/>
      <c r="CP14" s="137"/>
      <c r="CQ14" s="137"/>
      <c r="CR14" s="137"/>
      <c r="CS14" s="137"/>
      <c r="CT14" s="137"/>
      <c r="CU14" s="137"/>
      <c r="CV14" s="137"/>
      <c r="CW14" s="137"/>
      <c r="CX14" s="137"/>
      <c r="CY14" s="137"/>
      <c r="CZ14" s="137"/>
      <c r="DA14" s="137"/>
      <c r="DB14" s="137"/>
      <c r="DC14" s="137"/>
      <c r="DD14" s="137"/>
      <c r="DE14" s="137"/>
      <c r="DF14" s="137"/>
      <c r="DG14" s="137"/>
      <c r="DH14" s="137"/>
      <c r="DI14" s="137"/>
      <c r="DJ14" s="137"/>
      <c r="DK14" s="137"/>
      <c r="DL14" s="137"/>
      <c r="DM14" s="137"/>
      <c r="DN14" s="137"/>
      <c r="DO14" s="137"/>
      <c r="DP14" s="137"/>
      <c r="DQ14" s="137"/>
    </row>
    <row r="15" spans="1:4598" s="370" customFormat="1" ht="20" customHeight="1" thickBot="1" x14ac:dyDescent="0.25">
      <c r="A15" s="144">
        <v>-1.8102490748677567</v>
      </c>
      <c r="B15" s="346"/>
      <c r="C15" s="337"/>
      <c r="D15" s="337"/>
      <c r="E15" s="142"/>
      <c r="F15" s="347"/>
      <c r="G15" s="182"/>
      <c r="H15" s="340"/>
      <c r="I15" s="367"/>
      <c r="J15" s="322"/>
      <c r="K15" s="368"/>
      <c r="L15" s="182"/>
      <c r="M15" s="182"/>
      <c r="N15" s="186"/>
      <c r="O15" s="127"/>
      <c r="P15" s="538" t="s">
        <v>168</v>
      </c>
      <c r="Q15" s="477" t="s">
        <v>162</v>
      </c>
      <c r="R15" s="478"/>
      <c r="S15" s="136">
        <v>1.4971796013693341</v>
      </c>
      <c r="T15" s="374"/>
      <c r="U15" s="137">
        <v>0.20178123918041502</v>
      </c>
      <c r="V15" s="137">
        <v>0.1281446867103484</v>
      </c>
      <c r="W15" s="137">
        <v>-0.67094629154108665</v>
      </c>
      <c r="X15" s="137">
        <v>-1.0296289114605748</v>
      </c>
      <c r="Y15" s="137">
        <v>0.30737980372986806</v>
      </c>
      <c r="Z15" s="137">
        <v>-0.16998557981856299</v>
      </c>
      <c r="AA15" s="137">
        <v>0.17547662879727219</v>
      </c>
      <c r="AB15" s="137">
        <v>0.35367617020415176</v>
      </c>
      <c r="AC15" s="137">
        <v>1.0340913673460137</v>
      </c>
      <c r="AD15" s="137">
        <v>0.23802792397708439</v>
      </c>
      <c r="AE15" s="137">
        <v>0.70889997605430333</v>
      </c>
      <c r="AF15" s="137">
        <v>0.15375833028752917</v>
      </c>
      <c r="AG15" s="137">
        <v>0.37870403890312554</v>
      </c>
      <c r="AH15" s="137">
        <v>0.2204785911358926</v>
      </c>
      <c r="AI15" s="137">
        <v>-7.3488199100507412E-2</v>
      </c>
      <c r="AJ15" s="137">
        <v>-0.93714767987901249</v>
      </c>
      <c r="AK15" s="137">
        <v>-0.37730231944811754</v>
      </c>
      <c r="AL15" s="137">
        <v>1.0795056687980975</v>
      </c>
      <c r="AM15" s="137">
        <v>-0.10403288215475603</v>
      </c>
      <c r="AN15" s="137">
        <v>0.41288523468705529</v>
      </c>
      <c r="AO15" s="137">
        <v>6.9792760134128606E-3</v>
      </c>
      <c r="AP15" s="137">
        <v>-1.2036118483941265</v>
      </c>
      <c r="AQ15" s="137">
        <v>-1.1326036458143967</v>
      </c>
      <c r="AR15" s="137">
        <v>0.78176624893046176</v>
      </c>
      <c r="AS15" s="137">
        <v>0.39081090111323258</v>
      </c>
      <c r="AT15" s="137">
        <v>0.10441069197698247</v>
      </c>
      <c r="AU15" s="137">
        <v>-9.6706196382194687E-2</v>
      </c>
      <c r="AV15" s="137">
        <v>0.11813824018550756</v>
      </c>
      <c r="AW15" s="137">
        <v>0.74444016828592519</v>
      </c>
      <c r="AX15" s="137">
        <v>-0.84878167779842217</v>
      </c>
      <c r="AY15" s="137">
        <v>-0.48532155344783012</v>
      </c>
      <c r="AZ15" s="137">
        <v>0.27646598645255915</v>
      </c>
      <c r="BA15" s="137">
        <v>0.23834627743965561</v>
      </c>
      <c r="BB15" s="137">
        <v>-7.4371117393758901E-3</v>
      </c>
      <c r="BC15" s="137">
        <v>0.37675780296505801</v>
      </c>
      <c r="BD15" s="137">
        <v>-0.26675100956954401</v>
      </c>
      <c r="BE15" s="137">
        <v>-0.89574148950811994</v>
      </c>
      <c r="BF15" s="137">
        <v>0.28087185896205691</v>
      </c>
      <c r="BG15" s="137">
        <v>0.27444798428315531</v>
      </c>
      <c r="BH15" s="137">
        <v>-0.63960814001086552</v>
      </c>
      <c r="BI15" s="137">
        <v>-0.40301573810802926</v>
      </c>
      <c r="BJ15" s="137">
        <v>-0.12114971882462333</v>
      </c>
      <c r="BK15" s="137">
        <v>-5.8593138306258563E-2</v>
      </c>
      <c r="BL15" s="137">
        <v>-0.70788234321011012</v>
      </c>
      <c r="BM15" s="137">
        <v>-0.45689842176816731</v>
      </c>
      <c r="BN15" s="137">
        <v>0.29047218727765634</v>
      </c>
      <c r="BO15" s="137">
        <v>0.48189057184792938</v>
      </c>
      <c r="BP15" s="137">
        <v>-1.0468391994802118</v>
      </c>
      <c r="BQ15" s="137">
        <v>-5.8604638413283477E-2</v>
      </c>
      <c r="BR15" s="137">
        <v>1.1613398722662738</v>
      </c>
      <c r="BS15" s="137">
        <v>-1.9517290431757046</v>
      </c>
      <c r="BT15" s="137">
        <v>-0.53358282923531908</v>
      </c>
      <c r="BU15" s="137">
        <v>-0.87572654041986697</v>
      </c>
      <c r="BV15" s="137">
        <v>-0.9259110187935079</v>
      </c>
      <c r="BW15" s="137">
        <v>-0.31914504121022125</v>
      </c>
      <c r="BX15" s="137">
        <v>0.64468754859377819</v>
      </c>
      <c r="BY15" s="137">
        <v>-0.4395889303500744</v>
      </c>
      <c r="BZ15" s="137">
        <v>0.11408709631565947</v>
      </c>
      <c r="CA15" s="137">
        <v>-1.0480731675434369</v>
      </c>
      <c r="CB15" s="137">
        <v>-0.69881095288422435</v>
      </c>
      <c r="CC15" s="137">
        <v>5.7046448201547306E-3</v>
      </c>
      <c r="CD15" s="137">
        <v>-1.0248107119820609</v>
      </c>
      <c r="CE15" s="137">
        <v>-1.8006368639788426</v>
      </c>
      <c r="CF15" s="137">
        <v>0.46721012711253573</v>
      </c>
      <c r="CG15" s="137">
        <v>0.37558463593919678</v>
      </c>
      <c r="CH15" s="137">
        <v>0.64250808828946981</v>
      </c>
      <c r="CI15" s="137">
        <v>-1.1220873607150827</v>
      </c>
      <c r="CJ15" s="137">
        <v>-0.71640205340134733</v>
      </c>
      <c r="CK15" s="137">
        <v>0.48968341212757105</v>
      </c>
      <c r="CL15" s="137">
        <v>-1.0717085242779425</v>
      </c>
      <c r="CM15" s="137">
        <v>0.51587301437265731</v>
      </c>
      <c r="CN15" s="137">
        <v>0.31922209904375476</v>
      </c>
      <c r="CO15" s="137">
        <v>-0.99778412796631744</v>
      </c>
      <c r="CP15" s="137">
        <v>-8.463037605787127E-2</v>
      </c>
      <c r="CQ15" s="137">
        <v>-0.25727699747880228</v>
      </c>
      <c r="CR15" s="137">
        <v>0.2467773092257439</v>
      </c>
      <c r="CS15" s="137">
        <v>-1.4536606887934211</v>
      </c>
      <c r="CT15" s="137">
        <v>0.28392895260874917</v>
      </c>
      <c r="CU15" s="137">
        <v>1.7641793368981866</v>
      </c>
      <c r="CV15" s="137">
        <v>0.25791747933951337</v>
      </c>
      <c r="CW15" s="137">
        <v>0.87639967111196748</v>
      </c>
      <c r="CX15" s="137">
        <v>-1.3747788406179899</v>
      </c>
      <c r="CY15" s="137">
        <v>0.27826285327924305</v>
      </c>
      <c r="CZ15" s="137">
        <v>-0.65989802634456529</v>
      </c>
      <c r="DA15" s="137">
        <v>0.66022523818403167</v>
      </c>
      <c r="DB15" s="137">
        <v>0.97839166620501539</v>
      </c>
      <c r="DC15" s="137">
        <v>7.8923390927047254E-2</v>
      </c>
      <c r="DD15" s="137">
        <v>0.77868816682476305</v>
      </c>
      <c r="DE15" s="137">
        <v>0.94162222627967163</v>
      </c>
      <c r="DF15" s="137">
        <v>-0.59500994602941537</v>
      </c>
      <c r="DG15" s="137">
        <v>0.51451588288172312</v>
      </c>
      <c r="DH15" s="137">
        <v>-0.27982689221088597</v>
      </c>
      <c r="DI15" s="137">
        <v>-0.51442082829760372</v>
      </c>
      <c r="DJ15" s="137">
        <v>1.0043980490342777</v>
      </c>
      <c r="DK15" s="137">
        <v>0.14684012270618618</v>
      </c>
      <c r="DL15" s="137">
        <v>0.51507829139444405</v>
      </c>
      <c r="DM15" s="137">
        <v>-0.96394336357031329</v>
      </c>
      <c r="DN15" s="137">
        <v>-1.5871656747345866</v>
      </c>
      <c r="DO15" s="137">
        <v>-0.90830532665651165</v>
      </c>
      <c r="DP15" s="137">
        <v>-0.32284441179162249</v>
      </c>
      <c r="DQ15" s="137">
        <v>-0.93374368423436638</v>
      </c>
      <c r="DR15" s="137">
        <v>0.50312306185429145</v>
      </c>
      <c r="DS15" s="137">
        <v>0.32523254653934197</v>
      </c>
      <c r="DT15" s="137">
        <v>-0.80260671659653016</v>
      </c>
      <c r="DU15" s="137">
        <v>0.3168358339651669</v>
      </c>
      <c r="DV15" s="137">
        <v>3.474945764047499E-2</v>
      </c>
      <c r="DW15" s="137">
        <v>0.53625655436289899</v>
      </c>
      <c r="DX15" s="137">
        <v>-2.25619176943197E-2</v>
      </c>
      <c r="DY15" s="137">
        <v>-0.32285227714233633</v>
      </c>
      <c r="DZ15" s="137">
        <v>0.54267564433205218</v>
      </c>
      <c r="EA15" s="137">
        <v>0.70704554245719331</v>
      </c>
      <c r="EB15" s="137">
        <v>0.63232880669805391</v>
      </c>
      <c r="EC15" s="137">
        <v>-1.2050337593966289</v>
      </c>
      <c r="ED15" s="137">
        <v>-1.0132454378932194</v>
      </c>
      <c r="EE15" s="137">
        <v>0.26568423988683998</v>
      </c>
      <c r="EF15" s="137">
        <v>-9.4862366547006527E-2</v>
      </c>
      <c r="EG15" s="137">
        <v>0.29027087705321941</v>
      </c>
      <c r="EH15" s="137">
        <v>-0.88497121487243791</v>
      </c>
      <c r="EI15" s="137">
        <v>-0.14347827261968996</v>
      </c>
      <c r="EJ15" s="137">
        <v>-0.4320783730472697</v>
      </c>
      <c r="EK15" s="137">
        <v>0.42251705109812088</v>
      </c>
      <c r="EL15" s="137">
        <v>1.1803702368303797</v>
      </c>
      <c r="EM15" s="137">
        <v>-1.5628838689275724</v>
      </c>
      <c r="EN15" s="137">
        <v>0.59374459644974786</v>
      </c>
      <c r="EO15" s="137">
        <v>-0.247368652599254</v>
      </c>
      <c r="EP15" s="137">
        <v>0.71952460150429198</v>
      </c>
      <c r="EQ15" s="137">
        <v>0.28347091000169167</v>
      </c>
      <c r="ER15" s="137">
        <v>-0.94894023476443701</v>
      </c>
      <c r="ES15" s="137">
        <v>0.19377986082688858</v>
      </c>
      <c r="ET15" s="137">
        <v>0.90378686143836129</v>
      </c>
      <c r="EU15" s="137">
        <v>0.57221443425713625</v>
      </c>
      <c r="EV15" s="137">
        <v>3.445802620767191E-2</v>
      </c>
      <c r="EW15" s="137">
        <v>-1.2049322071098287</v>
      </c>
      <c r="EX15" s="137">
        <v>1.141930859934162</v>
      </c>
      <c r="EY15" s="137">
        <v>7.307400308777634E-3</v>
      </c>
      <c r="EZ15" s="137">
        <v>0.30931092297139395</v>
      </c>
      <c r="FA15" s="137">
        <v>0.38313474612193099</v>
      </c>
      <c r="FB15" s="137">
        <v>-1.2903444667551205</v>
      </c>
      <c r="FC15" s="137">
        <v>-0.15243697520052413</v>
      </c>
      <c r="FD15" s="137">
        <v>-0.60695816893693921</v>
      </c>
      <c r="FE15" s="137">
        <v>1.0667812378364538</v>
      </c>
      <c r="FF15" s="137">
        <v>1.0663609688269262</v>
      </c>
      <c r="FG15" s="137">
        <v>0.11066578136526184</v>
      </c>
      <c r="FH15" s="137">
        <v>0.24780990862665539</v>
      </c>
      <c r="FI15" s="137">
        <v>0.7874941510402409</v>
      </c>
      <c r="FJ15" s="137">
        <v>-1.1450784335551965</v>
      </c>
      <c r="FK15" s="137">
        <v>-0.18019239413039179</v>
      </c>
      <c r="FL15" s="137">
        <v>0.67546097763833979</v>
      </c>
      <c r="FM15" s="137">
        <v>-0.77104569488269226</v>
      </c>
      <c r="FN15" s="137">
        <v>-1.2623324377288596</v>
      </c>
      <c r="FO15" s="137">
        <v>1.6899168344290723</v>
      </c>
      <c r="FP15" s="137">
        <v>-0.99200519345969829</v>
      </c>
      <c r="FQ15" s="137">
        <v>0.20584671210385116</v>
      </c>
      <c r="FR15" s="137">
        <v>0.3923355691913728</v>
      </c>
      <c r="FS15" s="137">
        <v>1.6111088277641898</v>
      </c>
      <c r="FT15" s="137">
        <v>-1.6912497277927279</v>
      </c>
      <c r="FU15" s="137">
        <v>0.99354192942328945</v>
      </c>
      <c r="FV15" s="137">
        <v>-1.1287152960492697</v>
      </c>
      <c r="FW15" s="137">
        <v>0.87164406663855454</v>
      </c>
      <c r="FX15" s="137">
        <v>0.69637381129088149</v>
      </c>
      <c r="FY15" s="137">
        <v>-1.2508639857853345</v>
      </c>
      <c r="FZ15" s="137">
        <v>-1.2064597042221741</v>
      </c>
      <c r="GA15" s="137">
        <v>-0.89589631288544569</v>
      </c>
      <c r="GB15" s="137">
        <v>-4.7677033950810355E-4</v>
      </c>
      <c r="GC15" s="137">
        <v>-0.77011914631637657</v>
      </c>
      <c r="GD15" s="137">
        <v>0.84652951240362961</v>
      </c>
      <c r="GE15" s="137">
        <v>1.114719158860384</v>
      </c>
      <c r="GF15" s="137">
        <v>-0.90356799697725665</v>
      </c>
      <c r="GG15" s="137">
        <v>-0.37532264662288162</v>
      </c>
      <c r="GH15" s="137">
        <v>-1.0654643858121715</v>
      </c>
      <c r="GI15" s="137">
        <v>0.97948867283405727</v>
      </c>
      <c r="GJ15" s="137">
        <v>-0.58541909514102874</v>
      </c>
      <c r="GK15" s="137">
        <v>0.75626300810280123</v>
      </c>
      <c r="GL15" s="137">
        <v>0.29915776773554237</v>
      </c>
      <c r="GM15" s="137">
        <v>-0.37871000095264185</v>
      </c>
      <c r="GN15" s="137">
        <v>0.23357558540542778</v>
      </c>
      <c r="GO15" s="137">
        <v>-0.18339052315459758</v>
      </c>
      <c r="GP15" s="137">
        <v>-1.3283090840681577E-2</v>
      </c>
      <c r="GQ15" s="137">
        <v>0.64811478361919805</v>
      </c>
      <c r="GR15" s="137">
        <v>0.33206031539931269</v>
      </c>
      <c r="GS15" s="137">
        <v>1.0094723434557324</v>
      </c>
      <c r="GT15" s="137">
        <v>0.57069824755930521</v>
      </c>
      <c r="GU15" s="137">
        <v>0.33432442408481089</v>
      </c>
      <c r="GV15" s="137">
        <v>-1.0204947649708678</v>
      </c>
      <c r="GW15" s="137">
        <v>0.52214436210308302</v>
      </c>
      <c r="GX15" s="137">
        <v>1.2224858597245878</v>
      </c>
      <c r="GY15" s="137">
        <v>0.13311756164088218</v>
      </c>
      <c r="GZ15" s="137">
        <v>9.1531721828970153E-2</v>
      </c>
      <c r="HA15" s="137">
        <v>1.1113524317622727</v>
      </c>
      <c r="HB15" s="137">
        <v>-0.86458825191341893</v>
      </c>
      <c r="HC15" s="137">
        <v>0.50537948575529734</v>
      </c>
      <c r="HD15" s="137">
        <v>1.2196885927649412</v>
      </c>
      <c r="HE15" s="137">
        <v>-0.10667200746148489</v>
      </c>
      <c r="HF15" s="137">
        <v>0.29548292055355896</v>
      </c>
      <c r="HG15" s="137">
        <v>-1.3100992031407883</v>
      </c>
      <c r="HH15" s="137">
        <v>-1.3163241959828667</v>
      </c>
      <c r="HI15" s="137">
        <v>8.7251990677343461E-2</v>
      </c>
      <c r="HJ15" s="137">
        <v>-0.6578723053374218</v>
      </c>
      <c r="HK15" s="137">
        <v>2.959236958070699E-2</v>
      </c>
      <c r="HL15" s="137">
        <v>1.2524641594968693</v>
      </c>
      <c r="HM15" s="137">
        <v>-0.37599062038863584</v>
      </c>
      <c r="HN15" s="137">
        <v>-0.40801010870072352</v>
      </c>
      <c r="HO15" s="137">
        <v>0.57739857622777402</v>
      </c>
      <c r="HP15" s="137">
        <v>0.85434489884909448</v>
      </c>
      <c r="HQ15" s="137">
        <v>0.37532795507561412</v>
      </c>
      <c r="HR15" s="137">
        <v>1.5217535499900792</v>
      </c>
      <c r="HS15" s="137">
        <v>-0.26541467770414107</v>
      </c>
      <c r="HT15" s="137">
        <v>-0.5888717488744617</v>
      </c>
      <c r="HU15" s="137">
        <v>-0.29116696351209148</v>
      </c>
      <c r="HV15" s="137">
        <v>0.64922298325524119</v>
      </c>
      <c r="HW15" s="137">
        <v>0.86917544896951293</v>
      </c>
      <c r="HX15" s="137">
        <v>4.3810863906168951E-2</v>
      </c>
      <c r="HY15" s="137">
        <v>0.58782496499592662</v>
      </c>
      <c r="HZ15" s="137">
        <v>0.50552901962705699</v>
      </c>
      <c r="IA15" s="137">
        <v>0.47483547458671049</v>
      </c>
      <c r="IB15" s="137">
        <v>8.7395187128875368E-2</v>
      </c>
      <c r="IC15" s="137">
        <v>6.6437538594114276E-2</v>
      </c>
      <c r="ID15" s="137">
        <v>-0.38262171718588212</v>
      </c>
      <c r="IE15" s="137">
        <v>-3.2069321402770625</v>
      </c>
      <c r="IF15" s="137">
        <v>-1.8330639663241306</v>
      </c>
      <c r="IG15" s="137">
        <v>0.40168668051315359</v>
      </c>
      <c r="IH15" s="137">
        <v>0.17195830365537867</v>
      </c>
      <c r="II15" s="137">
        <v>0.85898852719825181</v>
      </c>
      <c r="IJ15" s="137">
        <v>0.8233891697171587</v>
      </c>
      <c r="IK15" s="137">
        <v>0.34381945083562693</v>
      </c>
      <c r="IL15" s="137">
        <v>-0.50340888098151149</v>
      </c>
      <c r="IM15" s="137">
        <v>0.34734940943604764</v>
      </c>
      <c r="IN15" s="137">
        <v>0.22719391471022596</v>
      </c>
      <c r="IO15" s="137">
        <v>0.6929620781965391</v>
      </c>
      <c r="IP15" s="137">
        <v>0.59520881075917353</v>
      </c>
      <c r="IQ15" s="137">
        <v>0.15437188765542098</v>
      </c>
      <c r="IR15" s="137">
        <v>-1.321591750266053</v>
      </c>
      <c r="IS15" s="137">
        <v>-0.40817016310740462</v>
      </c>
      <c r="IT15" s="137">
        <v>-0.59767478531539231</v>
      </c>
      <c r="IU15" s="137">
        <v>0.42530256307590841</v>
      </c>
      <c r="IV15" s="137">
        <v>-0.38056682100500216</v>
      </c>
      <c r="IW15" s="137">
        <v>1.2589674800138106</v>
      </c>
      <c r="IX15" s="137">
        <v>0.19895106572748</v>
      </c>
      <c r="IY15" s="137">
        <v>-1.4796600965327875</v>
      </c>
      <c r="IZ15" s="137">
        <v>-0.21345970531401681</v>
      </c>
      <c r="JA15" s="137">
        <v>0.12415760434544729</v>
      </c>
      <c r="JB15" s="137">
        <v>-0.74746139732630246</v>
      </c>
      <c r="JC15" s="137">
        <v>-8.5065804603070116E-2</v>
      </c>
      <c r="JD15" s="137">
        <v>-0.66490654087172762</v>
      </c>
      <c r="JE15" s="137">
        <v>-1.0344426346910232</v>
      </c>
      <c r="JF15" s="137">
        <v>0.27696266763003274</v>
      </c>
      <c r="JG15" s="137">
        <v>-0.11345324060396811</v>
      </c>
      <c r="JH15" s="137">
        <v>0.987808505371499</v>
      </c>
      <c r="JI15" s="137">
        <v>0.52152022183640634</v>
      </c>
      <c r="JJ15" s="137">
        <v>-0.2765549069000115</v>
      </c>
      <c r="JK15" s="137">
        <v>-0.22038999066855913</v>
      </c>
      <c r="JL15" s="137">
        <v>-2.7846150121104696E-2</v>
      </c>
      <c r="JM15" s="137">
        <v>-0.44022878080112227</v>
      </c>
      <c r="JN15" s="137">
        <v>-7.432107814669342E-2</v>
      </c>
      <c r="JO15" s="137">
        <v>0.13280603004472843</v>
      </c>
      <c r="JP15" s="137">
        <v>0.12556582423559567</v>
      </c>
      <c r="JQ15" s="137">
        <v>-0.37086711425679075</v>
      </c>
      <c r="JR15" s="137">
        <v>4.6143054059131633E-2</v>
      </c>
      <c r="JS15" s="137">
        <v>-0.99487530218255449</v>
      </c>
      <c r="JT15" s="137">
        <v>0.40027076445213661</v>
      </c>
      <c r="JU15" s="137">
        <v>-1.163206701406208</v>
      </c>
      <c r="JV15" s="137">
        <v>0.53280229461328199</v>
      </c>
      <c r="JW15" s="137">
        <v>0.77524161164848104</v>
      </c>
      <c r="JX15" s="137">
        <v>0.32460065287839734</v>
      </c>
      <c r="JY15" s="137">
        <v>-0.22414191121840468</v>
      </c>
      <c r="JZ15" s="137">
        <v>-0.27880287260734127</v>
      </c>
      <c r="KA15" s="137">
        <v>5.2708166973636228E-2</v>
      </c>
      <c r="KB15" s="137">
        <v>-0.12273708777555248</v>
      </c>
      <c r="KC15" s="137">
        <v>0.15693372553649931</v>
      </c>
      <c r="KD15" s="137">
        <v>-0.60348328986433009</v>
      </c>
      <c r="KE15" s="137">
        <v>-0.16890907032425551</v>
      </c>
      <c r="KF15" s="137">
        <v>0.37020426034774312</v>
      </c>
      <c r="KG15" s="137">
        <v>0.29203706740661994</v>
      </c>
      <c r="KH15" s="137">
        <v>-1.3880289086139808E-2</v>
      </c>
      <c r="KI15" s="137">
        <v>-1.2119470751304617</v>
      </c>
      <c r="KJ15" s="137">
        <v>1.1217870834372285</v>
      </c>
      <c r="KK15" s="137">
        <v>0.17762965229669669</v>
      </c>
      <c r="KL15" s="137">
        <v>1.4985378019277129</v>
      </c>
      <c r="KM15" s="137">
        <v>-4.2270848101290337E-2</v>
      </c>
      <c r="KN15" s="137">
        <v>0.45798820374738236</v>
      </c>
      <c r="KO15" s="137">
        <v>0.1189994309638451</v>
      </c>
      <c r="KP15" s="137">
        <v>-0.41690321517659035</v>
      </c>
      <c r="KQ15" s="137">
        <v>1.0494462186819562</v>
      </c>
      <c r="KR15" s="137">
        <v>1.0446627816154774</v>
      </c>
      <c r="KS15" s="137">
        <v>1.064536149952803</v>
      </c>
      <c r="KT15" s="137">
        <v>1.0038056237487738</v>
      </c>
      <c r="KU15" s="137">
        <v>-0.1505668992211269</v>
      </c>
      <c r="KV15" s="137">
        <v>0.99652683984924417</v>
      </c>
      <c r="KW15" s="137">
        <v>1.3071491586776411</v>
      </c>
      <c r="KX15" s="137">
        <v>0.58844829245141606</v>
      </c>
      <c r="KY15" s="137">
        <v>0.23158724824976895</v>
      </c>
      <c r="KZ15" s="137">
        <v>0.49790859554951661</v>
      </c>
      <c r="LA15" s="137">
        <v>3.8579640515477881E-2</v>
      </c>
      <c r="LB15" s="137">
        <v>-1.0265355448289326</v>
      </c>
      <c r="LC15" s="137">
        <v>0.26687942805326736</v>
      </c>
      <c r="LD15" s="137">
        <v>-0.47180802972534286</v>
      </c>
      <c r="LE15" s="137">
        <v>-1.3009013765396786</v>
      </c>
      <c r="LF15" s="137">
        <v>-1.0944671805557404</v>
      </c>
      <c r="LG15" s="137">
        <v>-0.75853754183266064</v>
      </c>
      <c r="LH15" s="137">
        <v>0.95225678957484172</v>
      </c>
      <c r="LI15" s="137">
        <v>0.40632704866605929</v>
      </c>
      <c r="LJ15" s="137">
        <v>0.34784103731922977</v>
      </c>
      <c r="LK15" s="137">
        <v>-0.62432881027146914</v>
      </c>
      <c r="LL15" s="137">
        <v>0.33753445429004936</v>
      </c>
      <c r="LM15" s="137">
        <v>6.3088025847819473E-3</v>
      </c>
      <c r="LN15" s="137">
        <v>0.69183784502168288</v>
      </c>
      <c r="LO15" s="137">
        <v>-0.45655699998384369</v>
      </c>
      <c r="LP15" s="137">
        <v>0.29156949024849377</v>
      </c>
      <c r="LQ15" s="137">
        <v>0.30907310136902533</v>
      </c>
      <c r="LR15" s="137">
        <v>-1.0012395955527409</v>
      </c>
      <c r="LS15" s="137">
        <v>0.8737169133133933</v>
      </c>
      <c r="LT15" s="137">
        <v>0.85497005189076214</v>
      </c>
      <c r="LU15" s="137">
        <v>4.1219510428158745E-2</v>
      </c>
      <c r="LV15" s="137">
        <v>1.1798448762663644E-2</v>
      </c>
      <c r="LW15" s="137">
        <v>-0.31554607248831124</v>
      </c>
      <c r="LX15" s="137">
        <v>1.2853867146586411</v>
      </c>
      <c r="LY15" s="137">
        <v>-0.42704050039596231</v>
      </c>
      <c r="LZ15" s="137">
        <v>6.4308860762113146E-2</v>
      </c>
      <c r="MA15" s="137">
        <v>-0.59233286814265318</v>
      </c>
      <c r="MB15" s="137">
        <v>0.84409313689441712</v>
      </c>
      <c r="MC15" s="137">
        <v>0.52840357457757259</v>
      </c>
      <c r="MD15" s="137">
        <v>-1.2292691030502403</v>
      </c>
      <c r="ME15" s="137">
        <v>-0.3224575450375986</v>
      </c>
      <c r="MF15" s="137">
        <v>0.60239692413963164</v>
      </c>
      <c r="MG15" s="137">
        <v>0.76727950008528589</v>
      </c>
      <c r="MH15" s="137">
        <v>-0.14962954470397127</v>
      </c>
      <c r="MI15" s="137">
        <v>0.20452449554287577</v>
      </c>
      <c r="MJ15" s="137">
        <v>0.79814329823353214</v>
      </c>
      <c r="MK15" s="137">
        <v>1.0254881831143536</v>
      </c>
      <c r="ML15" s="137">
        <v>-8.9613988174702452E-2</v>
      </c>
      <c r="MM15" s="137">
        <v>0.56566745596488355</v>
      </c>
      <c r="MN15" s="137">
        <v>0.41580859136474979</v>
      </c>
      <c r="MO15" s="137">
        <v>0.36511171267733866</v>
      </c>
      <c r="MP15" s="137">
        <v>5.0333800176089544E-2</v>
      </c>
      <c r="MQ15" s="137">
        <v>0.69955564775221868</v>
      </c>
      <c r="MR15" s="137">
        <v>-1.0173530061647451E-2</v>
      </c>
      <c r="MS15" s="137">
        <v>-1.5976866838758368</v>
      </c>
      <c r="MT15" s="137">
        <v>-1.8633509453477344</v>
      </c>
      <c r="MU15" s="137">
        <v>-8.0945513469612873E-2</v>
      </c>
      <c r="MV15" s="137">
        <v>0.10694927052654399</v>
      </c>
      <c r="MW15" s="137">
        <v>1.0898092976887797</v>
      </c>
      <c r="MX15" s="137">
        <v>0.63537865753773071</v>
      </c>
      <c r="MY15" s="137">
        <v>1.5914090896626853</v>
      </c>
      <c r="MZ15" s="137">
        <v>-1.7767725372588372</v>
      </c>
      <c r="NA15" s="137">
        <v>0.38686145172279973</v>
      </c>
      <c r="NB15" s="137">
        <v>6.9461527211474028E-3</v>
      </c>
      <c r="NC15" s="137">
        <v>0.23805057202693411</v>
      </c>
      <c r="ND15" s="137">
        <v>0.44947629633098041</v>
      </c>
      <c r="NE15" s="137">
        <v>-0.71846836000770642</v>
      </c>
      <c r="NF15" s="137">
        <v>0.12586763758525385</v>
      </c>
      <c r="NG15" s="137">
        <v>-1.8952502488751981</v>
      </c>
      <c r="NH15" s="137">
        <v>0.76095416254637138</v>
      </c>
      <c r="NI15" s="137">
        <v>1.55499136736581E-2</v>
      </c>
      <c r="NJ15" s="137">
        <v>-0.5470474497774922</v>
      </c>
      <c r="NK15" s="137">
        <v>0.68109028195692156</v>
      </c>
      <c r="NL15" s="137">
        <v>0.71753168016469226</v>
      </c>
      <c r="NM15" s="137">
        <v>0.21683075901779469</v>
      </c>
      <c r="NN15" s="137">
        <v>1.0105737850555472</v>
      </c>
      <c r="NO15" s="137">
        <v>-0.71833231206832471</v>
      </c>
      <c r="NP15" s="137">
        <v>-0.69124575144870226</v>
      </c>
      <c r="NQ15" s="137">
        <v>1.0628998221469446</v>
      </c>
      <c r="NR15" s="137">
        <v>0.17083087842068645</v>
      </c>
      <c r="NS15" s="137">
        <v>-1.2593159417155291</v>
      </c>
      <c r="NT15" s="137">
        <v>0.12581514099037469</v>
      </c>
      <c r="NU15" s="137">
        <v>-1.5507867075464943</v>
      </c>
      <c r="NV15" s="137">
        <v>0.90264701452244234</v>
      </c>
      <c r="NW15" s="137">
        <v>-7.8274261051146876E-2</v>
      </c>
      <c r="NX15" s="137">
        <v>0.47448319791354843</v>
      </c>
      <c r="NY15" s="137">
        <v>-0.32875506099642626</v>
      </c>
      <c r="NZ15" s="137">
        <v>1.2619882111677385</v>
      </c>
      <c r="OA15" s="137">
        <v>0.3072469883463449</v>
      </c>
      <c r="OB15" s="137">
        <v>0.19226393736765823</v>
      </c>
      <c r="OC15" s="137">
        <v>-0.29588313108212594</v>
      </c>
      <c r="OD15" s="137">
        <v>-1.3956921400271205</v>
      </c>
      <c r="OE15" s="137">
        <v>-0.5029674198949734</v>
      </c>
      <c r="OF15" s="137">
        <v>-0.33315167990922978</v>
      </c>
      <c r="OG15" s="137">
        <v>-0.36700324686873165</v>
      </c>
      <c r="OH15" s="137">
        <v>-1.7007666115204834</v>
      </c>
      <c r="OI15" s="137">
        <v>0.43195600307887583</v>
      </c>
      <c r="OJ15" s="137">
        <v>0.84273783984778783</v>
      </c>
      <c r="OK15" s="137">
        <v>9.3167495712448645E-2</v>
      </c>
      <c r="OL15" s="137">
        <v>-1.7007575291665886</v>
      </c>
      <c r="OM15" s="137">
        <v>-0.10626530468584638</v>
      </c>
      <c r="ON15" s="137">
        <v>0.4839045785154803</v>
      </c>
      <c r="OO15" s="137">
        <v>1.2451880752039295</v>
      </c>
      <c r="OP15" s="137">
        <v>4.8980094579873512E-2</v>
      </c>
      <c r="OQ15" s="137">
        <v>-0.32937251889052055</v>
      </c>
      <c r="OR15" s="137">
        <v>-0.25881148993875547</v>
      </c>
      <c r="OS15" s="137">
        <v>-0.11516362364048538</v>
      </c>
      <c r="OT15" s="137">
        <v>-0.8510837450385913</v>
      </c>
      <c r="OU15" s="137">
        <v>0.68454512156780334</v>
      </c>
      <c r="OV15" s="137">
        <v>0.50756722363249063</v>
      </c>
      <c r="OW15" s="137">
        <v>-0.5973407550583274</v>
      </c>
      <c r="OX15" s="137">
        <v>-0.11914110442179071</v>
      </c>
      <c r="OY15" s="137">
        <v>-1.9866465766964492E-2</v>
      </c>
      <c r="OZ15" s="137">
        <v>-1.6649828771328656</v>
      </c>
      <c r="PA15" s="137">
        <v>0.48304334328762843</v>
      </c>
      <c r="PB15" s="137">
        <v>-0.31073137762780112</v>
      </c>
      <c r="PC15" s="137">
        <v>-0.39630010189978782</v>
      </c>
      <c r="PD15" s="137">
        <v>-0.75637723953636415</v>
      </c>
      <c r="PE15" s="137">
        <v>-0.21178082658503561</v>
      </c>
      <c r="PF15" s="137">
        <v>-1.3928333457813138</v>
      </c>
      <c r="PG15" s="137">
        <v>-0.68045081799815099</v>
      </c>
      <c r="PH15" s="137">
        <v>-1.0673066701085587</v>
      </c>
      <c r="PI15" s="137">
        <v>0.11371275562563676</v>
      </c>
      <c r="PJ15" s="137">
        <v>0.88696532572842768</v>
      </c>
      <c r="PK15" s="137">
        <v>-0.46892034288690132</v>
      </c>
      <c r="PL15" s="137">
        <v>0.19302635913575239</v>
      </c>
      <c r="PM15" s="137">
        <v>0.38704949603596228</v>
      </c>
      <c r="PN15" s="137">
        <v>0.47528219347663958</v>
      </c>
      <c r="PO15" s="137">
        <v>0.85481775277954464</v>
      </c>
      <c r="PP15" s="137">
        <v>-0.14816090264384621</v>
      </c>
      <c r="PQ15" s="137">
        <v>-1.2228525597770967</v>
      </c>
      <c r="PR15" s="137">
        <v>0.79925047099279789</v>
      </c>
      <c r="PS15" s="137">
        <v>-8.2686193562993449E-2</v>
      </c>
      <c r="PT15" s="137">
        <v>1.0582814280106896</v>
      </c>
      <c r="PU15" s="137">
        <v>0.97007425758053722</v>
      </c>
      <c r="PV15" s="137">
        <v>0.36663965042526181</v>
      </c>
      <c r="PW15" s="137">
        <v>0.17451431137989681</v>
      </c>
      <c r="PX15" s="137">
        <v>-0.22952715673519597</v>
      </c>
      <c r="PY15" s="137">
        <v>-0.62327836223400501</v>
      </c>
      <c r="PZ15" s="137">
        <v>-7.7058157171440822E-2</v>
      </c>
      <c r="QA15" s="137">
        <v>0.46370566341140185</v>
      </c>
      <c r="QB15" s="137">
        <v>-0.48203019746984799</v>
      </c>
      <c r="QC15" s="137">
        <v>0.11252662606111349</v>
      </c>
      <c r="QD15" s="137">
        <v>-1.5156161606505818</v>
      </c>
      <c r="QE15" s="137">
        <v>-0.73818579040146792</v>
      </c>
      <c r="QF15" s="137">
        <v>-0.47175945896773674</v>
      </c>
      <c r="QG15" s="137">
        <v>-9.1170024274175088E-2</v>
      </c>
      <c r="QH15" s="137">
        <v>0.60200228237492448</v>
      </c>
      <c r="QI15" s="137">
        <v>-0.37331952097171728</v>
      </c>
      <c r="QJ15" s="137">
        <v>-1.6669331811921189</v>
      </c>
      <c r="QK15" s="137">
        <v>-0.82574229480364769</v>
      </c>
      <c r="QL15" s="137">
        <v>0.67905203687806415</v>
      </c>
      <c r="QM15" s="137">
        <v>-2.7635752566993808</v>
      </c>
      <c r="QN15" s="137">
        <v>1.5698287554606467</v>
      </c>
      <c r="QO15" s="137">
        <v>0.41794742455585743</v>
      </c>
      <c r="QP15" s="137">
        <v>-0.68387432954753669</v>
      </c>
      <c r="QQ15" s="137">
        <v>-9.2223949006645878E-2</v>
      </c>
      <c r="QR15" s="137">
        <v>-0.43052558757234527</v>
      </c>
      <c r="QS15" s="137">
        <v>-0.99123002783512393</v>
      </c>
      <c r="QT15" s="137">
        <v>-0.7703452143853915</v>
      </c>
      <c r="QU15" s="137">
        <v>-0.19089177452761197</v>
      </c>
      <c r="QV15" s="137">
        <v>-7.4597825579386462E-2</v>
      </c>
      <c r="QW15" s="137">
        <v>0.33664492956441672</v>
      </c>
      <c r="QX15" s="137">
        <v>1.1677000382120633</v>
      </c>
      <c r="QY15" s="137">
        <v>0.65619579709992815</v>
      </c>
      <c r="QZ15" s="137">
        <v>-1.1914652327593642</v>
      </c>
      <c r="RA15" s="137">
        <v>0.32866420158392495</v>
      </c>
      <c r="RB15" s="137">
        <v>0.95124944890110408</v>
      </c>
      <c r="RC15" s="137">
        <v>-1.1974119982334677</v>
      </c>
      <c r="RD15" s="137">
        <v>3.1747877244504341E-2</v>
      </c>
      <c r="RE15" s="137">
        <v>-1.5923585389167463</v>
      </c>
      <c r="RF15" s="137">
        <v>1.2278734864511436</v>
      </c>
      <c r="RG15" s="137">
        <v>-1.2333255919844581</v>
      </c>
      <c r="RH15" s="137">
        <v>-0.31607774035605862</v>
      </c>
      <c r="RI15" s="137">
        <v>-0.33304618608787839</v>
      </c>
      <c r="RJ15" s="137">
        <v>-1.3518739438274223</v>
      </c>
      <c r="RK15" s="137">
        <v>-0.20491815491151533</v>
      </c>
      <c r="RL15" s="137">
        <v>-0.67824007031231792</v>
      </c>
      <c r="RM15" s="137">
        <v>0.44981366241762766</v>
      </c>
      <c r="RN15" s="137">
        <v>-6.8810032322951908E-2</v>
      </c>
      <c r="RO15" s="137">
        <v>-0.5969640186295968</v>
      </c>
      <c r="RP15" s="137">
        <v>-3.6843008669511956E-2</v>
      </c>
      <c r="RQ15" s="137">
        <v>0.31761580178488069</v>
      </c>
      <c r="RR15" s="137">
        <v>0.65427754973188579</v>
      </c>
      <c r="RS15" s="137">
        <v>-0.24706089844633672</v>
      </c>
      <c r="RT15" s="137">
        <v>1.0181718184143471</v>
      </c>
      <c r="RU15" s="137">
        <v>1.2901230107785033</v>
      </c>
      <c r="RV15" s="137">
        <v>0.45853465878044597</v>
      </c>
      <c r="RW15" s="137">
        <v>-0.75711743254954689</v>
      </c>
      <c r="RX15" s="137">
        <v>0.40788729328619633</v>
      </c>
      <c r="RY15" s="137">
        <v>4.3645363739204218E-2</v>
      </c>
      <c r="RZ15" s="137">
        <v>0.41181216784662888</v>
      </c>
      <c r="SA15" s="137">
        <v>1.0689415217883913</v>
      </c>
      <c r="SB15" s="137">
        <v>-1.4885376234543215</v>
      </c>
      <c r="SC15" s="137">
        <v>-0.96947012699205148</v>
      </c>
      <c r="SD15" s="137">
        <v>-0.53397138148844681</v>
      </c>
      <c r="SE15" s="137">
        <v>-0.60866805476249786</v>
      </c>
      <c r="SF15" s="137">
        <v>1.8761984993748784</v>
      </c>
      <c r="SG15" s="137">
        <v>6.5358713774513494E-2</v>
      </c>
      <c r="SH15" s="137">
        <v>-0.79978157738237377</v>
      </c>
      <c r="SI15" s="137">
        <v>0.49423925984623418</v>
      </c>
      <c r="SJ15" s="137">
        <v>1.6121747051954878</v>
      </c>
      <c r="SK15" s="137">
        <v>-0.33888609575771644</v>
      </c>
      <c r="SL15" s="137">
        <v>-1.3134131159016227</v>
      </c>
      <c r="SM15" s="137">
        <v>-3.2645779782933371E-2</v>
      </c>
      <c r="SN15" s="137">
        <v>-0.55085678802694593</v>
      </c>
      <c r="SO15" s="137">
        <v>-0.13008574383732488</v>
      </c>
      <c r="SP15" s="137">
        <v>-0.87202398058705333</v>
      </c>
      <c r="SQ15" s="137">
        <v>-0.26925392414141092</v>
      </c>
      <c r="SR15" s="137">
        <v>-0.96389343051995757</v>
      </c>
      <c r="SS15" s="137">
        <v>0.53288153973925612</v>
      </c>
      <c r="ST15" s="137">
        <v>0.61933211870953153</v>
      </c>
      <c r="SU15" s="137">
        <v>-0.21153635613588542</v>
      </c>
      <c r="SV15" s="137">
        <v>0.25457814291375991</v>
      </c>
      <c r="SW15" s="137">
        <v>0.67814163338091626</v>
      </c>
      <c r="SX15" s="137">
        <v>-0.60187508476113782</v>
      </c>
      <c r="SY15" s="137">
        <v>-0.70303411279119876</v>
      </c>
      <c r="SZ15" s="137">
        <v>0.7163094260100018</v>
      </c>
      <c r="TA15" s="137">
        <v>0.66925602020632136</v>
      </c>
      <c r="TB15" s="137">
        <v>-0.46251877850032619</v>
      </c>
      <c r="TC15" s="137">
        <v>-1.2239219620353281</v>
      </c>
      <c r="TD15" s="137">
        <v>-0.9922673138583753</v>
      </c>
      <c r="TE15" s="137">
        <v>-6.1102719647736503E-2</v>
      </c>
      <c r="TF15" s="137">
        <v>-0.95383511162877488</v>
      </c>
      <c r="TG15" s="137">
        <v>-0.57279518527661943</v>
      </c>
      <c r="TH15" s="137">
        <v>0.10720555803545873</v>
      </c>
      <c r="TI15" s="137">
        <v>6.4787428578375827E-2</v>
      </c>
      <c r="TJ15" s="137">
        <v>0.61794902547505115</v>
      </c>
      <c r="TK15" s="137">
        <v>-0.45864847181905111</v>
      </c>
      <c r="TL15" s="137">
        <v>0.47356011263447195</v>
      </c>
      <c r="TM15" s="137">
        <v>0.67151162423573263</v>
      </c>
      <c r="TN15" s="137">
        <v>-0.64490294114966806</v>
      </c>
      <c r="TO15" s="137">
        <v>0.31933727388312017</v>
      </c>
      <c r="TP15" s="137">
        <v>-1.2558020879209031</v>
      </c>
      <c r="TQ15" s="137">
        <v>-0.67547561066133488</v>
      </c>
      <c r="TR15" s="137">
        <v>-0.3969372046572075</v>
      </c>
      <c r="TS15" s="137">
        <v>0.27902162694712596</v>
      </c>
      <c r="TT15" s="137">
        <v>-3.9099348140675172E-2</v>
      </c>
      <c r="TU15" s="137">
        <v>-0.52281876203974909</v>
      </c>
      <c r="TV15" s="137">
        <v>-1.4487563687071492</v>
      </c>
      <c r="TW15" s="137">
        <v>0.91389511984557226</v>
      </c>
      <c r="TX15" s="137">
        <v>1.0639996388325152</v>
      </c>
      <c r="TY15" s="137">
        <v>4.4752488122432571E-2</v>
      </c>
      <c r="TZ15" s="137">
        <v>0.95190321688259738</v>
      </c>
      <c r="UA15" s="137">
        <v>-1.2251521074741958</v>
      </c>
      <c r="UB15" s="137">
        <v>-0.50258932365989883</v>
      </c>
      <c r="UC15" s="137">
        <v>0.56038631248599768</v>
      </c>
      <c r="UD15" s="137">
        <v>0.8704111709461011</v>
      </c>
      <c r="UE15" s="137">
        <v>-0.56440209280352382</v>
      </c>
      <c r="UF15" s="137">
        <v>0.47392408590864088</v>
      </c>
      <c r="UG15" s="137">
        <v>1.3544119265031598</v>
      </c>
      <c r="UH15" s="137">
        <v>-1.8194214190082945</v>
      </c>
      <c r="UI15" s="137">
        <v>0.21353047943051218</v>
      </c>
      <c r="UJ15" s="137">
        <v>1.7831836987920355</v>
      </c>
      <c r="UK15" s="137">
        <v>0.38350226737294912</v>
      </c>
      <c r="UL15" s="137">
        <v>-0.10610840149060285</v>
      </c>
      <c r="UM15" s="137">
        <v>1.4405057439978552E-2</v>
      </c>
      <c r="UN15" s="137">
        <v>1.2267764243510464</v>
      </c>
      <c r="UO15" s="137">
        <v>-1.4806389069620685</v>
      </c>
      <c r="UP15" s="137">
        <v>0.6905219809652352</v>
      </c>
      <c r="UQ15" s="137">
        <v>-0.30691256779218667</v>
      </c>
      <c r="UR15" s="137">
        <v>-0.73640830531456691</v>
      </c>
      <c r="US15" s="137">
        <v>0.13363304499819373</v>
      </c>
      <c r="UT15" s="137">
        <v>-0.43720993722852475</v>
      </c>
      <c r="UU15" s="137">
        <v>-0.28972053780803142</v>
      </c>
      <c r="UV15" s="137">
        <v>-9.005896732570795E-2</v>
      </c>
      <c r="UW15" s="137">
        <v>0.31148788593754029</v>
      </c>
      <c r="UX15" s="137">
        <v>-0.14673856647470052</v>
      </c>
      <c r="UY15" s="137">
        <v>-0.81977992173309511</v>
      </c>
      <c r="UZ15" s="137">
        <v>0.25149532758351478</v>
      </c>
      <c r="VA15" s="137">
        <v>-3.4983314525754761E-2</v>
      </c>
      <c r="VB15" s="137">
        <v>0.86472193420839583</v>
      </c>
      <c r="VC15" s="137">
        <v>0.73310215591027239</v>
      </c>
      <c r="VD15" s="137">
        <v>0.78030806641913353</v>
      </c>
      <c r="VE15" s="137">
        <v>-0.30098906460121944</v>
      </c>
      <c r="VF15" s="137">
        <v>0.9346912314700675</v>
      </c>
      <c r="VG15" s="137">
        <v>-9.8211503284866719E-2</v>
      </c>
      <c r="VH15" s="137">
        <v>-0.50189061506563126</v>
      </c>
      <c r="VI15" s="137">
        <v>-7.9575827336435534E-2</v>
      </c>
      <c r="VJ15" s="137">
        <v>-1.4648347951465843</v>
      </c>
      <c r="VK15" s="137">
        <v>0.99458917064696672</v>
      </c>
      <c r="VL15" s="137">
        <v>-0.81600950226813185</v>
      </c>
      <c r="VM15" s="137">
        <v>-0.13787776731261081</v>
      </c>
      <c r="VN15" s="137">
        <v>-0.73085730666875781</v>
      </c>
      <c r="VO15" s="137">
        <v>-0.24871126334455829</v>
      </c>
      <c r="VP15" s="137">
        <v>-0.59619326670790818</v>
      </c>
      <c r="VQ15" s="137">
        <v>0.1166927265897777</v>
      </c>
      <c r="VR15" s="137">
        <v>0.98553865081166103</v>
      </c>
      <c r="VS15" s="137">
        <v>1.345412247628945</v>
      </c>
      <c r="VT15" s="137">
        <v>-0.1777141069693875</v>
      </c>
      <c r="VU15" s="137">
        <v>-0.22098546353709159</v>
      </c>
      <c r="VV15" s="137">
        <v>-0.61888305890932349</v>
      </c>
      <c r="VW15" s="137">
        <v>-1.7630118025544927E-2</v>
      </c>
      <c r="VX15" s="137">
        <v>-0.53918295744702638</v>
      </c>
      <c r="VY15" s="137">
        <v>0.92345807314989026</v>
      </c>
      <c r="VZ15" s="137">
        <v>0.91059671815125265</v>
      </c>
      <c r="WA15" s="137">
        <v>-0.46518373042455385</v>
      </c>
      <c r="WB15" s="137">
        <v>0.11193726754850042</v>
      </c>
      <c r="WC15" s="137">
        <v>0.119651569455693</v>
      </c>
      <c r="WD15" s="137">
        <v>0.6506225078324257</v>
      </c>
      <c r="WE15" s="137">
        <v>0.45780503329225519</v>
      </c>
      <c r="WF15" s="137">
        <v>-0.52977569802007229</v>
      </c>
      <c r="WG15" s="137">
        <v>1.0297064868253103</v>
      </c>
      <c r="WH15" s="137">
        <v>-0.36409868760220609</v>
      </c>
      <c r="WI15" s="137">
        <v>0.35490960876615896</v>
      </c>
      <c r="WJ15" s="137">
        <v>0.71964325512955662</v>
      </c>
      <c r="WK15" s="137">
        <v>-3.3590520625325748E-2</v>
      </c>
      <c r="WL15" s="137">
        <v>0.17214345592152691</v>
      </c>
      <c r="WM15" s="137">
        <v>0.81408727597880892</v>
      </c>
      <c r="WN15" s="137">
        <v>-2.5164003309308085</v>
      </c>
      <c r="WO15" s="137">
        <v>0.55411953830038607</v>
      </c>
      <c r="WP15" s="137">
        <v>-0.76595510392857025</v>
      </c>
      <c r="WQ15" s="137">
        <v>3.5356890672764596E-2</v>
      </c>
      <c r="WR15" s="137">
        <v>-0.77417153961373375</v>
      </c>
      <c r="WS15" s="137">
        <v>-0.14015952907358331</v>
      </c>
      <c r="WT15" s="137">
        <v>-0.64489060404646048</v>
      </c>
      <c r="WU15" s="137">
        <v>-0.11830396273532662</v>
      </c>
      <c r="WV15" s="137">
        <v>0.23171821343581067</v>
      </c>
      <c r="WW15" s="137">
        <v>-0.89809339965740664</v>
      </c>
      <c r="WX15" s="137">
        <v>0.51639876733827217</v>
      </c>
      <c r="WY15" s="137">
        <v>-1.5065775393171328</v>
      </c>
      <c r="WZ15" s="137">
        <v>-3.3130479002492219E-2</v>
      </c>
      <c r="XA15" s="137">
        <v>0.88829892390599108</v>
      </c>
      <c r="XB15" s="137">
        <v>8.1303214915215416E-4</v>
      </c>
      <c r="XC15" s="137">
        <v>5.819971564063886E-2</v>
      </c>
      <c r="XD15" s="137">
        <v>-1.0156806288620337</v>
      </c>
      <c r="XE15" s="137">
        <v>-0.28265494448142681</v>
      </c>
      <c r="XF15" s="137">
        <v>-2.858365399233298E-2</v>
      </c>
      <c r="XG15" s="137">
        <v>-5.3701389026959784E-2</v>
      </c>
      <c r="XH15" s="137">
        <v>0.10597475622888416</v>
      </c>
      <c r="XI15" s="137">
        <v>0.84701598562027636</v>
      </c>
      <c r="XJ15" s="137">
        <v>-0.17798107761434201</v>
      </c>
      <c r="XK15" s="137">
        <v>0.11677337620920844</v>
      </c>
      <c r="XL15" s="137">
        <v>-0.50325651904382829</v>
      </c>
      <c r="XM15" s="137">
        <v>-0.68344965389139523</v>
      </c>
      <c r="XN15" s="137">
        <v>-0.55287516736108833</v>
      </c>
      <c r="XO15" s="137">
        <v>1.8485354632340099</v>
      </c>
      <c r="XP15" s="137">
        <v>-0.47329243731612314</v>
      </c>
      <c r="XQ15" s="137">
        <v>1.2862354425640015</v>
      </c>
      <c r="XR15" s="137">
        <v>-1.2336767683841834</v>
      </c>
      <c r="XS15" s="137">
        <v>0.51886377562961394</v>
      </c>
      <c r="XT15" s="137">
        <v>-0.84017656451958234</v>
      </c>
      <c r="XU15" s="137">
        <v>-0.56872201477258733</v>
      </c>
      <c r="XV15" s="137">
        <v>-0.59523065647416606</v>
      </c>
      <c r="XW15" s="137">
        <v>0.24333834617703551</v>
      </c>
      <c r="XX15" s="137">
        <v>-1.7466530135157696</v>
      </c>
      <c r="XY15" s="137">
        <v>2.8262187332848132E-2</v>
      </c>
      <c r="XZ15" s="137">
        <v>-0.14353050742673323</v>
      </c>
      <c r="YA15" s="137">
        <v>1.5342591185410783</v>
      </c>
      <c r="YB15" s="137">
        <v>1.0119188550939975</v>
      </c>
      <c r="YC15" s="137">
        <v>-0.82910106934759897</v>
      </c>
      <c r="YD15" s="137">
        <v>0.27677228893260386</v>
      </c>
      <c r="YE15" s="137">
        <v>0.89430126067370208</v>
      </c>
      <c r="YF15" s="137">
        <v>1.6258932689927108</v>
      </c>
      <c r="YG15" s="137">
        <v>-0.32535485628262739</v>
      </c>
      <c r="YH15" s="137">
        <v>0.39100853729955043</v>
      </c>
      <c r="YI15" s="137">
        <v>0.44497545658625848</v>
      </c>
      <c r="YJ15" s="137">
        <v>0.49304621932895154</v>
      </c>
      <c r="YK15" s="137">
        <v>0.30212137955490315</v>
      </c>
      <c r="YL15" s="137">
        <v>1.4792002098219386</v>
      </c>
      <c r="YM15" s="137">
        <v>-2.326990694737185</v>
      </c>
      <c r="YN15" s="137">
        <v>-0.18259174076938356</v>
      </c>
      <c r="YO15" s="137">
        <v>-1.0816261229009725</v>
      </c>
      <c r="YP15" s="137">
        <v>0.69765166474388574</v>
      </c>
      <c r="YQ15" s="137">
        <v>-0.51656362974230907</v>
      </c>
      <c r="YR15" s="137">
        <v>0.19058314179964819</v>
      </c>
      <c r="YS15" s="137">
        <v>8.9105037112199942E-2</v>
      </c>
      <c r="YT15" s="137">
        <v>-0.18400092779108013</v>
      </c>
      <c r="YU15" s="137">
        <v>0.2927202861619258</v>
      </c>
      <c r="YV15" s="137">
        <v>0.4683843244809176</v>
      </c>
      <c r="YW15" s="137">
        <v>-1.1367446480260077</v>
      </c>
      <c r="YX15" s="137">
        <v>0.19631653688848028</v>
      </c>
      <c r="YY15" s="137">
        <v>-0.21669117880698385</v>
      </c>
      <c r="YZ15" s="137">
        <v>0.43083974241484535</v>
      </c>
      <c r="ZA15" s="137">
        <v>0.99203720890441582</v>
      </c>
      <c r="ZB15" s="137">
        <v>-0.25031198087389361</v>
      </c>
      <c r="ZC15" s="137">
        <v>-0.73356157307722958</v>
      </c>
      <c r="ZD15" s="137">
        <v>0.65485641398799865</v>
      </c>
      <c r="ZE15" s="137">
        <v>0.40200045917025173</v>
      </c>
      <c r="ZF15" s="137">
        <v>-1.3823919386148105</v>
      </c>
      <c r="ZG15" s="137">
        <v>0.6220737581645488</v>
      </c>
      <c r="ZH15" s="137">
        <v>-6.0210450359874379E-3</v>
      </c>
      <c r="ZI15" s="137">
        <v>0.8878400742171686</v>
      </c>
      <c r="ZJ15" s="137">
        <v>-1.8989859491264247</v>
      </c>
      <c r="ZK15" s="137">
        <v>0.23841549104820681</v>
      </c>
      <c r="ZL15" s="137">
        <v>-0.17863544176139848</v>
      </c>
      <c r="ZM15" s="137">
        <v>-0.60863803638304637</v>
      </c>
      <c r="ZN15" s="137">
        <v>0.64713192598095626</v>
      </c>
      <c r="ZO15" s="137">
        <v>-1.2572182092414912</v>
      </c>
      <c r="ZP15" s="137">
        <v>-0.58807725589320148</v>
      </c>
      <c r="ZQ15" s="137">
        <v>0.1037774637188762</v>
      </c>
      <c r="ZR15" s="137">
        <v>0.64938643048790334</v>
      </c>
      <c r="ZS15" s="137">
        <v>0.34660266673044271</v>
      </c>
      <c r="ZT15" s="137">
        <v>-0.3965018205101507</v>
      </c>
      <c r="ZU15" s="137">
        <v>-8.3915126282396724E-2</v>
      </c>
      <c r="ZV15" s="137">
        <v>-0.5049165795411148</v>
      </c>
      <c r="ZW15" s="137">
        <v>-0.97682762917435673</v>
      </c>
      <c r="ZX15" s="137">
        <v>-0.7558647708032934</v>
      </c>
      <c r="ZY15" s="137">
        <v>-0.11252920327642135</v>
      </c>
      <c r="ZZ15" s="137">
        <v>0.59129311367617143</v>
      </c>
      <c r="AAA15" s="137">
        <v>-0.66949714113180425</v>
      </c>
      <c r="AAB15" s="137">
        <v>0.74150137154956264</v>
      </c>
      <c r="AAC15" s="137">
        <v>-0.89523789104175722</v>
      </c>
      <c r="AAD15" s="137">
        <v>-0.72832844758037174</v>
      </c>
      <c r="AAE15" s="137">
        <v>1.0829416993426926</v>
      </c>
      <c r="AAF15" s="137">
        <v>-0.71118026796920253</v>
      </c>
      <c r="AAG15" s="137">
        <v>5.3259671796558966E-2</v>
      </c>
      <c r="AAH15" s="137">
        <v>1.3690359759825719</v>
      </c>
      <c r="AAI15" s="137">
        <v>-0.65265453910810711</v>
      </c>
      <c r="AAJ15" s="137">
        <v>-0.7421314901560776</v>
      </c>
      <c r="AAK15" s="137">
        <v>1.7696688677857314E-2</v>
      </c>
      <c r="AAL15" s="137">
        <v>0.23542701847804404</v>
      </c>
      <c r="AAM15" s="137">
        <v>-1.5131311769547415</v>
      </c>
      <c r="AAN15" s="137">
        <v>0.47451490956315689</v>
      </c>
      <c r="AAO15" s="137">
        <v>1.4446737446938109</v>
      </c>
      <c r="AAP15" s="137">
        <v>6.2692091000416728E-2</v>
      </c>
      <c r="AAQ15" s="137">
        <v>0.72373502206635232</v>
      </c>
      <c r="AAR15" s="137">
        <v>0.34013825866287073</v>
      </c>
      <c r="AAS15" s="137">
        <v>0.74134071232996712</v>
      </c>
      <c r="AAT15" s="137">
        <v>1.5244765747462723</v>
      </c>
      <c r="AAU15" s="137">
        <v>1.3617427277250429</v>
      </c>
      <c r="AAV15" s="137">
        <v>-0.29754082308561314</v>
      </c>
      <c r="AAW15" s="137">
        <v>-0.4432064631841981</v>
      </c>
      <c r="AAX15" s="137">
        <v>0.71520948150151975</v>
      </c>
      <c r="AAY15" s="137">
        <v>0.67975251336627673</v>
      </c>
      <c r="AAZ15" s="137">
        <v>0.59347928937685746</v>
      </c>
      <c r="ABA15" s="137">
        <v>-0.68419693355204236</v>
      </c>
      <c r="ABB15" s="137">
        <v>0.30345193155982253</v>
      </c>
      <c r="ABC15" s="137">
        <v>0.94481076187815072</v>
      </c>
      <c r="ABD15" s="137">
        <v>1.1539336044203541E-2</v>
      </c>
      <c r="ABE15" s="137">
        <v>-0.2538839903553316</v>
      </c>
      <c r="ABF15" s="137">
        <v>-0.15583198353483274</v>
      </c>
      <c r="ABG15" s="137">
        <v>0.70157413102846755</v>
      </c>
      <c r="ABH15" s="137">
        <v>-0.89664090434960775</v>
      </c>
      <c r="ABI15" s="137">
        <v>7.3171225073560553E-2</v>
      </c>
      <c r="ABJ15" s="137">
        <v>-1.2275285098268376</v>
      </c>
      <c r="ABK15" s="137">
        <v>-8.5497329035513214E-2</v>
      </c>
      <c r="ABL15" s="137">
        <v>0.2324927449593468</v>
      </c>
      <c r="ABM15" s="137">
        <v>-0.17920623381321965</v>
      </c>
      <c r="ABN15" s="137">
        <v>0.85100897278460375</v>
      </c>
      <c r="ABO15" s="137">
        <v>-0.45240106103718369</v>
      </c>
      <c r="ABP15" s="137">
        <v>-0.40959360752458229</v>
      </c>
      <c r="ABQ15" s="137">
        <v>0.31916090370221051</v>
      </c>
      <c r="ABR15" s="137">
        <v>3.2155538849144905E-2</v>
      </c>
      <c r="ABS15" s="137">
        <v>0.3507312177427786</v>
      </c>
      <c r="ABT15" s="137">
        <v>-1.2075176072525955</v>
      </c>
      <c r="ABU15" s="137">
        <v>0.14134092548466137</v>
      </c>
      <c r="ABV15" s="137">
        <v>1.335721194844949</v>
      </c>
      <c r="ABW15" s="137">
        <v>1.2495374112088293</v>
      </c>
      <c r="ABX15" s="137">
        <v>0.47930322146012694</v>
      </c>
      <c r="ABY15" s="137">
        <v>-0.24768202080731205</v>
      </c>
      <c r="ABZ15" s="137">
        <v>2.6490271297403528E-2</v>
      </c>
      <c r="ACA15" s="137">
        <v>-0.12691126831135469</v>
      </c>
      <c r="ACB15" s="137">
        <v>0.11122280929222803</v>
      </c>
      <c r="ACC15" s="137">
        <v>0.68664708933196872</v>
      </c>
      <c r="ACD15" s="137">
        <v>-1.1768052866290559</v>
      </c>
      <c r="ACE15" s="137">
        <v>0.18049946133548153</v>
      </c>
      <c r="ACF15" s="137">
        <v>0.61728651558737591</v>
      </c>
      <c r="ACG15" s="137">
        <v>0.5622712866021069</v>
      </c>
      <c r="ACH15" s="137">
        <v>1.3813726436565354</v>
      </c>
      <c r="ACI15" s="137">
        <v>-1.0318870374272691</v>
      </c>
      <c r="ACJ15" s="137">
        <v>0.41606986282159619</v>
      </c>
      <c r="ACK15" s="137">
        <v>-0.85762196201054186</v>
      </c>
      <c r="ACL15" s="137">
        <v>-0.88373346790501872</v>
      </c>
      <c r="ACM15" s="137">
        <v>0.40861344632157648</v>
      </c>
      <c r="ACN15" s="137">
        <v>-7.5369070323693332E-2</v>
      </c>
      <c r="ACO15" s="137">
        <v>0.10112396256683673</v>
      </c>
      <c r="ACP15" s="137">
        <v>-0.37875551217418524</v>
      </c>
      <c r="ACQ15" s="137">
        <v>-1.1125051369486783</v>
      </c>
      <c r="ACR15" s="137">
        <v>-7.7689783011277935E-2</v>
      </c>
      <c r="ACS15" s="137">
        <v>0.98196880000647235</v>
      </c>
      <c r="ACT15" s="137">
        <v>-0.49053214294704039</v>
      </c>
      <c r="ACU15" s="137">
        <v>0.53600012726610169</v>
      </c>
      <c r="ACV15" s="137">
        <v>0.34482251885797277</v>
      </c>
      <c r="ACW15" s="137">
        <v>0.88676253319504506</v>
      </c>
      <c r="ACX15" s="137">
        <v>1.0199710990735427</v>
      </c>
      <c r="ACY15" s="137">
        <v>-0.56058340445812993</v>
      </c>
      <c r="ACZ15" s="137">
        <v>-0.1210490675641025</v>
      </c>
      <c r="ADA15" s="137">
        <v>-0.70874086963587279</v>
      </c>
      <c r="ADB15" s="137">
        <v>-0.40554939503203391</v>
      </c>
      <c r="ADC15" s="137">
        <v>-0.14539723029614526</v>
      </c>
      <c r="ADD15" s="137">
        <v>-0.14025498025722305</v>
      </c>
      <c r="ADE15" s="137">
        <v>0.23212269634750848</v>
      </c>
      <c r="ADF15" s="137">
        <v>0.24029645786822107</v>
      </c>
      <c r="ADG15" s="137">
        <v>1.3025263574288553</v>
      </c>
      <c r="ADH15" s="137">
        <v>-0.12487252262486725</v>
      </c>
      <c r="ADI15" s="137">
        <v>-5.8088696046092902E-2</v>
      </c>
      <c r="ADJ15" s="137">
        <v>0.29827985064043938</v>
      </c>
      <c r="ADK15" s="137">
        <v>-0.44973314253696139</v>
      </c>
      <c r="ADL15" s="137">
        <v>1.1667709436662528</v>
      </c>
      <c r="ADM15" s="137">
        <v>0.15795580795008002</v>
      </c>
      <c r="ADN15" s="137">
        <v>0.84147263253423299</v>
      </c>
      <c r="ADO15" s="137">
        <v>-0.56621306256353554</v>
      </c>
      <c r="ADP15" s="137">
        <v>-0.86068958382987537</v>
      </c>
      <c r="ADQ15" s="137">
        <v>0.49943158227293205</v>
      </c>
      <c r="ADR15" s="137">
        <v>-7.5403341062800333E-2</v>
      </c>
      <c r="ADS15" s="137">
        <v>-0.91099068995073085</v>
      </c>
      <c r="ADT15" s="137">
        <v>-0.61120778745865456</v>
      </c>
      <c r="ADU15" s="137">
        <v>0.5120125123843331</v>
      </c>
      <c r="ADV15" s="137">
        <v>0.20618416884027235</v>
      </c>
      <c r="ADW15" s="137">
        <v>-7.7582816681759592E-2</v>
      </c>
      <c r="ADX15" s="137">
        <v>0.12848612132616433</v>
      </c>
      <c r="ADY15" s="137">
        <v>0.29717309648047996</v>
      </c>
      <c r="ADZ15" s="137">
        <v>-0.85436687211764228</v>
      </c>
      <c r="AEA15" s="137">
        <v>-0.46335191209181081</v>
      </c>
      <c r="AEB15" s="137">
        <v>-0.15221859908640092</v>
      </c>
      <c r="AEC15" s="137">
        <v>-1.8252012037125009E-2</v>
      </c>
      <c r="AED15" s="137">
        <v>-0.73788056404611657</v>
      </c>
      <c r="AEE15" s="137">
        <v>0.33368867747188213</v>
      </c>
      <c r="AEF15" s="137">
        <v>-0.14969956831519363</v>
      </c>
      <c r="AEG15" s="137">
        <v>2.3941810662023486</v>
      </c>
      <c r="AEH15" s="137">
        <v>-0.30615596766920339</v>
      </c>
      <c r="AEI15" s="137">
        <v>-1.2767966590428781E-2</v>
      </c>
      <c r="AEJ15" s="137">
        <v>0.28550324623376833</v>
      </c>
      <c r="AEK15" s="137">
        <v>0.94350857810401445</v>
      </c>
      <c r="AEL15" s="137">
        <v>0.78727279656525306</v>
      </c>
      <c r="AEM15" s="137">
        <v>-0.38181255538271008</v>
      </c>
      <c r="AEN15" s="137">
        <v>0.46176200828850478</v>
      </c>
      <c r="AEO15" s="137">
        <v>0.9226403850264</v>
      </c>
      <c r="AEP15" s="137">
        <v>-1.2930625093304093</v>
      </c>
      <c r="AEQ15" s="137">
        <v>-0.53602845519462283</v>
      </c>
      <c r="AER15" s="137">
        <v>-0.43701651950057885</v>
      </c>
      <c r="AES15" s="137">
        <v>9.0311783071597151E-2</v>
      </c>
      <c r="AET15" s="137">
        <v>-1.0633788285979171</v>
      </c>
      <c r="AEU15" s="137">
        <v>0.77961491353151624</v>
      </c>
      <c r="AEV15" s="137">
        <v>1.2217715212415485</v>
      </c>
      <c r="AEW15" s="137">
        <v>0.38121978418603542</v>
      </c>
      <c r="AEX15" s="137">
        <v>-1.4752495733952755</v>
      </c>
      <c r="AEY15" s="137">
        <v>0.39990676707243233</v>
      </c>
      <c r="AEZ15" s="137">
        <v>-0.66563175436256961</v>
      </c>
      <c r="AFA15" s="137">
        <v>1.6651847582547128</v>
      </c>
      <c r="AFB15" s="137">
        <v>0.24362799281298428</v>
      </c>
      <c r="AFC15" s="137">
        <v>0.43470440538451394</v>
      </c>
      <c r="AFD15" s="137">
        <v>-1.0904482760149938</v>
      </c>
      <c r="AFE15" s="137">
        <v>0.68424505493906063</v>
      </c>
      <c r="AFF15" s="137">
        <v>-0.23273595455134588</v>
      </c>
      <c r="AFG15" s="137">
        <v>0.32124430122127245</v>
      </c>
      <c r="AFH15" s="137">
        <v>-0.51333666397970878</v>
      </c>
      <c r="AFI15" s="137">
        <v>-0.16511842102839361</v>
      </c>
      <c r="AFJ15" s="137">
        <v>0.35783584786389477</v>
      </c>
      <c r="AFK15" s="137">
        <v>-0.11477214449720696</v>
      </c>
      <c r="AFL15" s="137">
        <v>-0.26428582841795878</v>
      </c>
      <c r="AFM15" s="137">
        <v>0.44512471532060838</v>
      </c>
      <c r="AFN15" s="137">
        <v>-0.68361484722124777</v>
      </c>
      <c r="AFO15" s="137">
        <v>0.59883873109122243</v>
      </c>
      <c r="AFP15" s="137">
        <v>-8.6805105442907315E-2</v>
      </c>
      <c r="AFQ15" s="137">
        <v>-4.526626442597026E-2</v>
      </c>
      <c r="AFR15" s="137">
        <v>-0.72947376421178711</v>
      </c>
      <c r="AFS15" s="137">
        <v>0.68308515143519566</v>
      </c>
      <c r="AFT15" s="137">
        <v>0.59473240470070943</v>
      </c>
      <c r="AFU15" s="137">
        <v>0.45260174598130698</v>
      </c>
      <c r="AFV15" s="137">
        <v>-1.8729144319981734</v>
      </c>
      <c r="AFW15" s="137">
        <v>1.1300472177538432</v>
      </c>
      <c r="AFX15" s="137">
        <v>-1.5160422634095112</v>
      </c>
      <c r="AFY15" s="137">
        <v>-0.79049444742745367</v>
      </c>
      <c r="AFZ15" s="137">
        <v>-0.32481116668621857</v>
      </c>
      <c r="AGA15" s="137">
        <v>-0.42287086595970669</v>
      </c>
      <c r="AGB15" s="137">
        <v>1.0835763394475806</v>
      </c>
      <c r="AGC15" s="137">
        <v>-0.836168090906655</v>
      </c>
      <c r="AGD15" s="137">
        <v>0.2875016914197297</v>
      </c>
      <c r="AGE15" s="137">
        <v>-1.8102490748677567</v>
      </c>
      <c r="AGF15" s="137">
        <v>-0.82098105333526439</v>
      </c>
      <c r="AGG15" s="137">
        <v>-1.3255375755019911</v>
      </c>
      <c r="AGH15" s="137">
        <v>0.22198382855420681</v>
      </c>
      <c r="AGI15" s="137">
        <v>1.3610062894884813</v>
      </c>
      <c r="AGJ15" s="137">
        <v>0.31567903732779934</v>
      </c>
      <c r="AGK15" s="137">
        <v>0.34749001829727044</v>
      </c>
      <c r="AGL15" s="137">
        <v>0.71218863909137164</v>
      </c>
      <c r="AGM15" s="137">
        <v>-0.2825438897802619</v>
      </c>
      <c r="AGN15" s="137">
        <v>-0.82959594455941987</v>
      </c>
      <c r="AGO15" s="137">
        <v>0.25374486289917408</v>
      </c>
      <c r="AGP15" s="137">
        <v>-1.4425699081023153</v>
      </c>
      <c r="AGQ15" s="137">
        <v>1.537463308158769</v>
      </c>
      <c r="AGR15" s="137">
        <v>1.3503221874470932</v>
      </c>
      <c r="AGS15" s="137">
        <v>0.46473638637757242</v>
      </c>
      <c r="AGT15" s="137">
        <v>-0.1834970661012405</v>
      </c>
      <c r="AGU15" s="137">
        <v>-1.1434812817396445E-2</v>
      </c>
      <c r="AGV15" s="137">
        <v>-1.4589021912386619</v>
      </c>
      <c r="AGW15" s="137">
        <v>-0.25239220314710087</v>
      </c>
      <c r="AGX15" s="137">
        <v>-0.28506732818808223</v>
      </c>
      <c r="AGY15" s="137">
        <v>-2.0605107386474142E-2</v>
      </c>
      <c r="AGZ15" s="137">
        <v>0.64455298864860078</v>
      </c>
      <c r="AHA15" s="137">
        <v>-0.87410688346068843</v>
      </c>
      <c r="AHB15" s="137">
        <v>0.17594027669091838</v>
      </c>
      <c r="AHC15" s="137">
        <v>0.51264448000447027</v>
      </c>
      <c r="AHD15" s="137">
        <v>0.2325180188730642</v>
      </c>
      <c r="AHE15" s="137">
        <v>0.84292138549554929</v>
      </c>
      <c r="AHF15" s="137">
        <v>0.18039231521874163</v>
      </c>
      <c r="AHG15" s="137">
        <v>0.7864863313359387</v>
      </c>
      <c r="AHH15" s="137">
        <v>-0.43450505220751401</v>
      </c>
      <c r="AHI15" s="137">
        <v>-1.9629395935605323</v>
      </c>
      <c r="AHJ15" s="137">
        <v>-0.67637702039068648</v>
      </c>
      <c r="AHK15" s="137">
        <v>0.39316197154064481</v>
      </c>
      <c r="AHL15" s="137">
        <v>0.1644681497351983</v>
      </c>
      <c r="AHM15" s="137">
        <v>1.1790630029457057</v>
      </c>
      <c r="AHN15" s="137">
        <v>0.22347627760070177</v>
      </c>
      <c r="AHO15" s="137">
        <v>0.42589032189525122</v>
      </c>
      <c r="AHP15" s="137">
        <v>0.63961946708391304</v>
      </c>
      <c r="AHQ15" s="137">
        <v>0.68044318251235447</v>
      </c>
      <c r="AHR15" s="137">
        <v>-0.62252762122256788</v>
      </c>
      <c r="AHS15" s="137">
        <v>-0.50579925272714155</v>
      </c>
      <c r="AHT15" s="137">
        <v>-1.473061172156084</v>
      </c>
      <c r="AHU15" s="137">
        <v>0.20677697919587468</v>
      </c>
      <c r="AHV15" s="137">
        <v>0.54255510837123078</v>
      </c>
      <c r="AHW15" s="137">
        <v>-0.14591330914247314</v>
      </c>
      <c r="AHX15" s="137">
        <v>-0.820958136090565</v>
      </c>
      <c r="AHY15" s="137">
        <v>-0.51960811858768485</v>
      </c>
      <c r="AHZ15" s="137">
        <v>-0.41686206166109718</v>
      </c>
      <c r="AIA15" s="137">
        <v>0.14619257360826632</v>
      </c>
      <c r="AIB15" s="137">
        <v>-1.2424226088441244</v>
      </c>
      <c r="AIC15" s="137">
        <v>0.4518806481619273</v>
      </c>
      <c r="AID15" s="137">
        <v>0.59814991463699352</v>
      </c>
      <c r="AIE15" s="137">
        <v>-0.26376405040218165</v>
      </c>
      <c r="AIF15" s="137">
        <v>0.47598326801218827</v>
      </c>
      <c r="AIG15" s="137">
        <v>-0.67049235021219777</v>
      </c>
      <c r="AIH15" s="137">
        <v>0.66399670722302995</v>
      </c>
      <c r="AII15" s="137">
        <v>0.87235223034536924</v>
      </c>
      <c r="AIJ15" s="137">
        <v>-1.0252261393559556</v>
      </c>
      <c r="AIK15" s="137">
        <v>0.29361450918510679</v>
      </c>
      <c r="AIL15" s="137">
        <v>1.0847932069948159</v>
      </c>
      <c r="AIM15" s="137">
        <v>-0.49889032954920287</v>
      </c>
      <c r="AIN15" s="137">
        <v>-0.28007588222492918</v>
      </c>
      <c r="AIO15" s="137">
        <v>0.93986607857188398</v>
      </c>
      <c r="AIP15" s="137">
        <v>-0.72589922766889492</v>
      </c>
      <c r="AIQ15" s="137">
        <v>-0.34036791095076557</v>
      </c>
      <c r="AIR15" s="137">
        <v>-2.5058933579721283</v>
      </c>
      <c r="AIS15" s="137">
        <v>6.4612094013915627E-2</v>
      </c>
      <c r="AIT15" s="137">
        <v>-4.6394118251507077E-2</v>
      </c>
      <c r="AIU15" s="137">
        <v>-0.32743160608991806</v>
      </c>
      <c r="AIV15" s="137">
        <v>0.50006267615121525</v>
      </c>
      <c r="AIW15" s="137">
        <v>0.49417942844924534</v>
      </c>
      <c r="AIX15" s="137">
        <v>-0.94544170554922635</v>
      </c>
      <c r="AIY15" s="137">
        <v>-0.12156362753070971</v>
      </c>
      <c r="AIZ15" s="137">
        <v>1.3719330602989133</v>
      </c>
      <c r="AJA15" s="137">
        <v>9.3549131270757702E-2</v>
      </c>
      <c r="AJB15" s="137">
        <v>-0.29105100378619886</v>
      </c>
      <c r="AJC15" s="137">
        <v>0.12585825277035889</v>
      </c>
      <c r="AJD15" s="137">
        <v>-0.36617603246116337</v>
      </c>
      <c r="AJE15" s="137">
        <v>3.4440641173246522E-2</v>
      </c>
      <c r="AJF15" s="137">
        <v>0.72454747536498454</v>
      </c>
      <c r="AJG15" s="137">
        <v>0.41740427924378187</v>
      </c>
      <c r="AJH15" s="137">
        <v>-0.24932630008191614</v>
      </c>
      <c r="AJI15" s="137">
        <v>0.17934623234652713</v>
      </c>
      <c r="AJJ15" s="137">
        <v>8.911058720570475E-2</v>
      </c>
      <c r="AJK15" s="137">
        <v>-0.69922722179482255</v>
      </c>
      <c r="AJL15" s="137">
        <v>-0.53647261787422218</v>
      </c>
      <c r="AJM15" s="137">
        <v>0.94356123039907169</v>
      </c>
      <c r="AJN15" s="137">
        <v>-0.11533109717696768</v>
      </c>
      <c r="AJO15" s="137">
        <v>-0.43456886492257985</v>
      </c>
      <c r="AJP15" s="137">
        <v>0.59948422664854428</v>
      </c>
      <c r="AJQ15" s="137">
        <v>-0.94090028363878409</v>
      </c>
      <c r="AJR15" s="137">
        <v>4.8235802756715351E-3</v>
      </c>
      <c r="AJS15" s="137">
        <v>-1.6575666411588315</v>
      </c>
      <c r="AJT15" s="137">
        <v>-4.1589565414303475E-2</v>
      </c>
      <c r="AJU15" s="137">
        <v>1.5824910622538888</v>
      </c>
      <c r="AJV15" s="137">
        <v>-0.72744883168772878</v>
      </c>
      <c r="AJW15" s="137">
        <v>-0.62214957408983684</v>
      </c>
      <c r="AJX15" s="137">
        <v>-6.2864930916943784E-3</v>
      </c>
      <c r="AJY15" s="137">
        <v>-0.90702252370405179</v>
      </c>
      <c r="AJZ15" s="137">
        <v>0.14870596365870847</v>
      </c>
      <c r="AKA15" s="137">
        <v>0.9520441830046189</v>
      </c>
      <c r="AKB15" s="137">
        <v>-0.81576333572941595</v>
      </c>
      <c r="AKC15" s="137">
        <v>0.51186193550801784</v>
      </c>
      <c r="AKD15" s="137">
        <v>-0.24961443746170311</v>
      </c>
      <c r="AKE15" s="137">
        <v>-0.27948960886481933</v>
      </c>
      <c r="AKF15" s="137">
        <v>1.0418439746668207</v>
      </c>
      <c r="AKG15" s="137">
        <v>0.28740122076592778</v>
      </c>
      <c r="AKH15" s="137">
        <v>-1.1069050824471645</v>
      </c>
      <c r="AKI15" s="137">
        <v>-1.0768155471290597</v>
      </c>
      <c r="AKJ15" s="137">
        <v>-1.907590111493723</v>
      </c>
      <c r="AKK15" s="137">
        <v>-0.52494264967047277</v>
      </c>
      <c r="AKL15" s="137">
        <v>-0.51828268431025881</v>
      </c>
      <c r="AKM15" s="137">
        <v>-0.56908625498250975</v>
      </c>
      <c r="AKN15" s="137">
        <v>-9.9631977818693596E-2</v>
      </c>
      <c r="AKO15" s="137">
        <v>0.28055347631006677</v>
      </c>
      <c r="AKP15" s="137">
        <v>-1.1858491699847611</v>
      </c>
      <c r="AKQ15" s="137">
        <v>0.50953659878962876</v>
      </c>
      <c r="AKR15" s="137">
        <v>-3.929634298670015E-2</v>
      </c>
      <c r="AKS15" s="137">
        <v>0.56455772321364472</v>
      </c>
      <c r="AKT15" s="137">
        <v>0.2834502314981493</v>
      </c>
      <c r="AKU15" s="137">
        <v>-0.31463849537778676</v>
      </c>
      <c r="AKV15" s="137">
        <v>0.93051101626160682</v>
      </c>
      <c r="AKW15" s="137">
        <v>0.89783892326801729</v>
      </c>
      <c r="AKX15" s="137">
        <v>0.17335234536683905</v>
      </c>
      <c r="AKY15" s="137">
        <v>-0.63225547838100249</v>
      </c>
      <c r="AKZ15" s="137">
        <v>-0.11264224929710798</v>
      </c>
      <c r="ALA15" s="137">
        <v>0.20525107167125123</v>
      </c>
      <c r="ALB15" s="137">
        <v>8.0716375415866598E-2</v>
      </c>
      <c r="ALC15" s="137">
        <v>-3.1861741166478108E-2</v>
      </c>
      <c r="ALD15" s="137">
        <v>-0.27843685268476426</v>
      </c>
      <c r="ALE15" s="137">
        <v>-0.52865641717897693</v>
      </c>
      <c r="ALF15" s="137">
        <v>-0.1727998779821234</v>
      </c>
      <c r="ALG15" s="137">
        <v>0.22744635896327958</v>
      </c>
      <c r="ALH15" s="137">
        <v>0.42239819503013942</v>
      </c>
      <c r="ALI15" s="137">
        <v>-0.20559097778774449</v>
      </c>
      <c r="ALJ15" s="137">
        <v>0.24684564350181978</v>
      </c>
      <c r="ALK15" s="137">
        <v>-0.69083108127793613</v>
      </c>
      <c r="ALL15" s="137">
        <v>0.14046208547671535</v>
      </c>
      <c r="ALM15" s="137">
        <v>-0.79805290003086216</v>
      </c>
      <c r="ALN15" s="137">
        <v>0.38396119091868153</v>
      </c>
      <c r="ALO15" s="137">
        <v>-0.98377623862697783</v>
      </c>
      <c r="ALP15" s="137">
        <v>1.0091760658830418</v>
      </c>
      <c r="ALQ15" s="137">
        <v>-0.3466292611656896</v>
      </c>
      <c r="ALR15" s="137">
        <v>0.2573952233406005</v>
      </c>
      <c r="ALS15" s="137">
        <v>-3.1538621425979407E-3</v>
      </c>
      <c r="ALT15" s="137">
        <v>-0.86315622661451874</v>
      </c>
      <c r="ALU15" s="137">
        <v>3.6277341781071532E-2</v>
      </c>
      <c r="ALV15" s="137">
        <v>0.70451986509425035</v>
      </c>
      <c r="ALW15" s="137">
        <v>0.1741684468105533</v>
      </c>
      <c r="ALX15" s="137">
        <v>-8.8219469218790092E-2</v>
      </c>
      <c r="ALY15" s="137">
        <v>0.59982681502261892</v>
      </c>
      <c r="ALZ15" s="137">
        <v>-0.56063595050903592</v>
      </c>
      <c r="AMA15" s="137">
        <v>0.65913404660631025</v>
      </c>
      <c r="AMB15" s="137">
        <v>0.94924418451474546</v>
      </c>
      <c r="AMC15" s="137">
        <v>-0.22638536401072207</v>
      </c>
      <c r="AMD15" s="137">
        <v>1.3965985507952703</v>
      </c>
      <c r="AME15" s="137">
        <v>-0.84409794718610121</v>
      </c>
      <c r="AMF15" s="137">
        <v>-0.55970780952292065</v>
      </c>
      <c r="AMG15" s="137"/>
      <c r="AMH15" s="137"/>
      <c r="AMI15" s="137"/>
      <c r="AMJ15" s="137"/>
      <c r="AMK15" s="137"/>
      <c r="AML15" s="137"/>
      <c r="AMM15" s="137"/>
      <c r="AMN15" s="137"/>
      <c r="AMO15" s="137"/>
      <c r="AMP15" s="137"/>
      <c r="AMQ15" s="137"/>
      <c r="AMR15" s="137"/>
      <c r="AMS15" s="137"/>
      <c r="AMT15" s="137"/>
      <c r="AMU15" s="137"/>
      <c r="AMV15" s="137"/>
      <c r="AMW15" s="137"/>
      <c r="AMX15" s="137"/>
      <c r="AMY15" s="137"/>
      <c r="AMZ15" s="137"/>
      <c r="ANA15" s="137"/>
      <c r="ANB15" s="137"/>
      <c r="ANC15" s="137"/>
      <c r="AND15" s="137"/>
      <c r="ANE15" s="137"/>
      <c r="ANF15" s="137"/>
      <c r="ANG15" s="137"/>
      <c r="ANH15" s="137"/>
      <c r="ANI15" s="137"/>
      <c r="ANJ15" s="137"/>
      <c r="ANK15" s="137"/>
      <c r="ANL15" s="137"/>
      <c r="ANM15" s="137"/>
      <c r="ANN15" s="137"/>
      <c r="ANO15" s="137"/>
      <c r="ANP15" s="137"/>
      <c r="ANQ15" s="137"/>
      <c r="ANR15" s="137"/>
      <c r="ANS15" s="137"/>
      <c r="ANT15" s="137"/>
      <c r="ANU15" s="137"/>
      <c r="ANV15" s="137"/>
      <c r="ANW15" s="137"/>
      <c r="ANX15" s="137"/>
      <c r="ANY15" s="137"/>
      <c r="ANZ15" s="137"/>
      <c r="AOA15" s="137"/>
      <c r="AOB15" s="137"/>
      <c r="AOC15" s="137"/>
      <c r="AOD15" s="137"/>
      <c r="AOE15" s="137"/>
      <c r="AOF15" s="137"/>
      <c r="AOG15" s="137"/>
      <c r="AOH15" s="137"/>
      <c r="AOI15" s="137"/>
      <c r="AOJ15" s="137"/>
      <c r="AOK15" s="137"/>
      <c r="AOL15" s="137"/>
      <c r="AOM15" s="137"/>
      <c r="AON15" s="137"/>
      <c r="AOO15" s="137"/>
      <c r="AOP15" s="137"/>
      <c r="AOQ15" s="137"/>
      <c r="AOR15" s="137"/>
      <c r="AOS15" s="137"/>
      <c r="AOT15" s="137"/>
      <c r="AOU15" s="137"/>
      <c r="AOV15" s="137"/>
      <c r="AOW15" s="137"/>
      <c r="AOX15" s="137"/>
      <c r="AOY15" s="137"/>
      <c r="AOZ15" s="137"/>
      <c r="APA15" s="137"/>
      <c r="APB15" s="137"/>
      <c r="APC15" s="137"/>
      <c r="APD15" s="137"/>
      <c r="APE15" s="137"/>
      <c r="APF15" s="137"/>
      <c r="APG15" s="137"/>
      <c r="APH15" s="137"/>
      <c r="API15" s="137"/>
      <c r="APJ15" s="137"/>
      <c r="APK15" s="137"/>
      <c r="APL15" s="137"/>
      <c r="APM15" s="137"/>
      <c r="APN15" s="137"/>
      <c r="APO15" s="137"/>
      <c r="APP15" s="137"/>
      <c r="APQ15" s="137"/>
      <c r="APR15" s="137"/>
      <c r="APS15" s="137"/>
      <c r="APT15" s="137"/>
      <c r="APU15" s="137"/>
      <c r="APV15" s="137"/>
      <c r="APW15" s="137"/>
      <c r="APX15" s="137"/>
      <c r="APY15" s="137"/>
      <c r="APZ15" s="137"/>
      <c r="AQA15" s="137"/>
      <c r="AQB15" s="137"/>
      <c r="AQC15" s="137"/>
      <c r="AQD15" s="137"/>
      <c r="AQE15" s="137"/>
      <c r="AQF15" s="137"/>
      <c r="AQG15" s="137"/>
      <c r="AQH15" s="137"/>
      <c r="AQI15" s="137"/>
      <c r="AQJ15" s="137"/>
      <c r="AQK15" s="137"/>
      <c r="AQL15" s="137"/>
      <c r="AQM15" s="137"/>
      <c r="AQN15" s="137"/>
      <c r="AQO15" s="137"/>
      <c r="AQP15" s="137"/>
      <c r="AQQ15" s="137"/>
      <c r="AQR15" s="137"/>
      <c r="AQS15" s="137"/>
      <c r="AQT15" s="137"/>
      <c r="AQU15" s="137"/>
      <c r="AQV15" s="137"/>
      <c r="AQW15" s="137"/>
      <c r="AQX15" s="137"/>
      <c r="AQY15" s="137"/>
      <c r="AQZ15" s="137"/>
      <c r="ARA15" s="137"/>
      <c r="ARB15" s="137"/>
      <c r="ARC15" s="137"/>
      <c r="ARD15" s="137"/>
      <c r="ARE15" s="137"/>
      <c r="ARF15" s="137"/>
      <c r="ARG15" s="137"/>
      <c r="ARH15" s="137"/>
      <c r="ARI15" s="137"/>
      <c r="ARJ15" s="137"/>
      <c r="ARK15" s="137"/>
      <c r="ARL15" s="137"/>
      <c r="ARM15" s="137"/>
      <c r="ARN15" s="137"/>
      <c r="ARO15" s="137"/>
      <c r="ARP15" s="137"/>
      <c r="ARQ15" s="137"/>
      <c r="ARR15" s="137"/>
      <c r="ARS15" s="137"/>
      <c r="ART15" s="137"/>
      <c r="ARU15" s="137"/>
      <c r="ARV15" s="137"/>
      <c r="ARW15" s="137"/>
      <c r="ARX15" s="137"/>
      <c r="ARY15" s="137"/>
      <c r="ARZ15" s="137"/>
      <c r="ASA15" s="137"/>
      <c r="ASB15" s="137"/>
      <c r="ASC15" s="137"/>
      <c r="ASD15" s="137"/>
      <c r="ASE15" s="137"/>
      <c r="ASF15" s="137"/>
      <c r="ASG15" s="137"/>
      <c r="ASH15" s="137"/>
      <c r="ASI15" s="137"/>
      <c r="ASJ15" s="137"/>
      <c r="ASK15" s="137"/>
      <c r="ASL15" s="137"/>
      <c r="ASM15" s="137"/>
      <c r="ASN15" s="137"/>
      <c r="ASO15" s="137"/>
      <c r="ASP15" s="137"/>
      <c r="ASQ15" s="137"/>
      <c r="ASR15" s="137"/>
      <c r="ASS15" s="137"/>
      <c r="AST15" s="137"/>
      <c r="ASU15" s="137"/>
      <c r="ASV15" s="137"/>
      <c r="ASW15" s="137"/>
      <c r="ASX15" s="137"/>
      <c r="ASY15" s="137"/>
      <c r="ASZ15" s="137"/>
      <c r="ATA15" s="137"/>
      <c r="ATB15" s="137"/>
      <c r="ATC15" s="137"/>
      <c r="ATD15" s="137"/>
      <c r="ATE15" s="137"/>
      <c r="ATF15" s="137"/>
      <c r="ATG15" s="137"/>
      <c r="ATH15" s="137"/>
      <c r="ATI15" s="137"/>
      <c r="ATJ15" s="137"/>
      <c r="ATK15" s="137"/>
      <c r="ATL15" s="137"/>
      <c r="ATM15" s="137"/>
      <c r="ATN15" s="137"/>
      <c r="ATO15" s="137"/>
      <c r="ATP15" s="137"/>
      <c r="ATQ15" s="137"/>
      <c r="ATR15" s="137"/>
      <c r="ATS15" s="137"/>
      <c r="ATT15" s="137"/>
      <c r="ATU15" s="137"/>
      <c r="ATV15" s="137"/>
      <c r="ATW15" s="137"/>
      <c r="ATX15" s="137"/>
      <c r="ATY15" s="137"/>
      <c r="ATZ15" s="137"/>
      <c r="AUA15" s="137"/>
      <c r="AUB15" s="137"/>
      <c r="AUC15" s="137"/>
      <c r="AUD15" s="137"/>
      <c r="AUE15" s="137"/>
      <c r="AUF15" s="137"/>
      <c r="AUG15" s="137"/>
      <c r="AUH15" s="137"/>
      <c r="AUI15" s="137"/>
      <c r="AUJ15" s="137"/>
      <c r="AUK15" s="137"/>
      <c r="AUL15" s="137"/>
      <c r="AUM15" s="137"/>
      <c r="AUN15" s="137"/>
      <c r="AUO15" s="137"/>
      <c r="AUP15" s="137"/>
      <c r="AUQ15" s="137"/>
      <c r="AUR15" s="137"/>
      <c r="AUS15" s="137"/>
      <c r="AUT15" s="137"/>
      <c r="AUU15" s="137"/>
      <c r="AUV15" s="137"/>
      <c r="AUW15" s="137"/>
      <c r="AUX15" s="137"/>
      <c r="AUY15" s="137"/>
      <c r="AUZ15" s="137"/>
      <c r="AVA15" s="137"/>
      <c r="AVB15" s="137"/>
      <c r="AVC15" s="137"/>
      <c r="AVD15" s="137"/>
      <c r="AVE15" s="137"/>
      <c r="AVF15" s="137"/>
      <c r="AVG15" s="137"/>
      <c r="AVH15" s="137"/>
      <c r="AVI15" s="137"/>
      <c r="AVJ15" s="137"/>
      <c r="AVK15" s="137"/>
      <c r="AVL15" s="137"/>
      <c r="AVM15" s="137"/>
      <c r="AVN15" s="137"/>
      <c r="AVO15" s="137"/>
      <c r="AVP15" s="137"/>
      <c r="AVQ15" s="137"/>
      <c r="AVR15" s="137"/>
      <c r="AVS15" s="137"/>
      <c r="AVT15" s="137"/>
      <c r="AVU15" s="137"/>
      <c r="AVV15" s="137"/>
      <c r="AVW15" s="137"/>
      <c r="AVX15" s="137"/>
      <c r="AVY15" s="137"/>
      <c r="AVZ15" s="137"/>
      <c r="AWA15" s="137"/>
      <c r="AWB15" s="137"/>
      <c r="AWC15" s="137"/>
      <c r="AWD15" s="137"/>
      <c r="AWE15" s="137"/>
      <c r="AWF15" s="137"/>
      <c r="AWG15" s="137"/>
      <c r="AWH15" s="137"/>
      <c r="AWI15" s="137"/>
      <c r="AWJ15" s="137"/>
      <c r="AWK15" s="137"/>
      <c r="AWL15" s="137"/>
      <c r="AWM15" s="137"/>
      <c r="AWN15" s="137"/>
      <c r="AWO15" s="137"/>
      <c r="AWP15" s="137"/>
      <c r="AWQ15" s="137"/>
      <c r="AWR15" s="137"/>
      <c r="AWS15" s="137"/>
      <c r="AWT15" s="137"/>
      <c r="AWU15" s="137"/>
      <c r="AWV15" s="137"/>
      <c r="AWW15" s="137"/>
      <c r="AWX15" s="137"/>
      <c r="AWY15" s="137"/>
      <c r="AWZ15" s="137"/>
      <c r="AXA15" s="137"/>
      <c r="AXB15" s="137"/>
      <c r="AXC15" s="137"/>
      <c r="AXD15" s="137"/>
      <c r="AXE15" s="137"/>
      <c r="AXF15" s="137"/>
      <c r="AXG15" s="137"/>
      <c r="AXH15" s="137"/>
      <c r="AXI15" s="137"/>
      <c r="AXJ15" s="137"/>
      <c r="AXK15" s="137"/>
      <c r="AXL15" s="137"/>
      <c r="AXM15" s="137"/>
      <c r="AXN15" s="137"/>
      <c r="AXO15" s="137"/>
      <c r="AXP15" s="137"/>
      <c r="AXQ15" s="137"/>
      <c r="AXR15" s="137"/>
      <c r="AXS15" s="137"/>
      <c r="AXT15" s="137"/>
      <c r="AXU15" s="137"/>
      <c r="AXV15" s="137"/>
      <c r="AXW15" s="137"/>
      <c r="AXX15" s="137"/>
      <c r="AXY15" s="137"/>
      <c r="AXZ15" s="137"/>
      <c r="AYA15" s="137"/>
      <c r="AYB15" s="137"/>
      <c r="AYC15" s="137"/>
      <c r="AYD15" s="137"/>
      <c r="AYE15" s="137"/>
      <c r="AYF15" s="137"/>
      <c r="AYG15" s="137"/>
      <c r="AYH15" s="137"/>
      <c r="AYI15" s="137"/>
      <c r="AYJ15" s="137"/>
      <c r="AYK15" s="137"/>
      <c r="AYL15" s="137"/>
      <c r="AYM15" s="137"/>
      <c r="AYN15" s="137"/>
      <c r="AYO15" s="137"/>
      <c r="AYP15" s="137"/>
      <c r="AYQ15" s="137"/>
      <c r="AYR15" s="137"/>
      <c r="AYS15" s="137"/>
      <c r="AYT15" s="137"/>
      <c r="AYU15" s="137"/>
      <c r="AYV15" s="137"/>
      <c r="AYW15" s="137"/>
      <c r="AYX15" s="137"/>
      <c r="AYY15" s="137"/>
      <c r="AYZ15" s="137"/>
      <c r="AZA15" s="137"/>
      <c r="AZB15" s="137"/>
      <c r="AZC15" s="137"/>
      <c r="AZD15" s="137"/>
      <c r="AZE15" s="137"/>
      <c r="AZF15" s="137"/>
      <c r="AZG15" s="137"/>
      <c r="AZH15" s="137"/>
      <c r="AZI15" s="137"/>
      <c r="AZJ15" s="137"/>
      <c r="AZK15" s="137"/>
      <c r="AZL15" s="137"/>
      <c r="AZM15" s="137"/>
      <c r="AZN15" s="137"/>
      <c r="AZO15" s="137"/>
      <c r="AZP15" s="137"/>
      <c r="AZQ15" s="137"/>
      <c r="AZR15" s="137"/>
      <c r="AZS15" s="137"/>
      <c r="AZT15" s="137"/>
      <c r="AZU15" s="137"/>
      <c r="AZV15" s="137"/>
      <c r="AZW15" s="137"/>
      <c r="AZX15" s="137"/>
      <c r="AZY15" s="137"/>
      <c r="AZZ15" s="137"/>
      <c r="BAA15" s="137"/>
      <c r="BAB15" s="137"/>
      <c r="BAC15" s="137"/>
      <c r="BAD15" s="137"/>
      <c r="BAE15" s="137"/>
      <c r="BAF15" s="137"/>
      <c r="BAG15" s="137"/>
      <c r="BAH15" s="137"/>
      <c r="BAI15" s="137"/>
      <c r="BAJ15" s="137"/>
      <c r="BAK15" s="137"/>
      <c r="BAL15" s="137"/>
      <c r="BAM15" s="137"/>
      <c r="BAN15" s="137"/>
      <c r="BAO15" s="137"/>
      <c r="BAP15" s="137"/>
      <c r="BAQ15" s="137"/>
      <c r="BAR15" s="137"/>
      <c r="BAS15" s="137"/>
      <c r="BAT15" s="137"/>
      <c r="BAU15" s="137"/>
      <c r="BAV15" s="137"/>
      <c r="BAW15" s="137"/>
      <c r="BAX15" s="137"/>
      <c r="BAY15" s="137"/>
      <c r="BAZ15" s="137"/>
      <c r="BBA15" s="137"/>
      <c r="BBB15" s="137"/>
      <c r="BBC15" s="137"/>
      <c r="BBD15" s="137"/>
      <c r="BBE15" s="137"/>
      <c r="BBF15" s="137"/>
      <c r="BBG15" s="137"/>
      <c r="BBH15" s="137"/>
      <c r="BBI15" s="137"/>
      <c r="BBJ15" s="137"/>
      <c r="BBK15" s="137"/>
      <c r="BBL15" s="137"/>
      <c r="BBM15" s="137"/>
      <c r="BBN15" s="137"/>
      <c r="BBO15" s="137"/>
      <c r="BBP15" s="137"/>
      <c r="BBQ15" s="137"/>
      <c r="BBR15" s="137"/>
      <c r="BBS15" s="137"/>
      <c r="BBT15" s="137"/>
      <c r="BBU15" s="137"/>
      <c r="BBV15" s="137"/>
      <c r="BBW15" s="137"/>
      <c r="BBX15" s="137"/>
      <c r="BBY15" s="137"/>
      <c r="BBZ15" s="137"/>
      <c r="BCA15" s="137"/>
      <c r="BCB15" s="137"/>
      <c r="BCC15" s="137"/>
      <c r="BCD15" s="137"/>
      <c r="BCE15" s="137"/>
      <c r="BCF15" s="137"/>
      <c r="BCG15" s="137"/>
      <c r="BCH15" s="137"/>
      <c r="BCI15" s="137"/>
      <c r="BCJ15" s="137"/>
      <c r="BCK15" s="137"/>
      <c r="BCL15" s="137"/>
      <c r="BCM15" s="137"/>
      <c r="BCN15" s="137"/>
      <c r="BCO15" s="137"/>
      <c r="BCP15" s="137"/>
      <c r="BCQ15" s="137"/>
      <c r="BCR15" s="137"/>
      <c r="BCS15" s="137"/>
      <c r="BCT15" s="137"/>
      <c r="BCU15" s="137"/>
      <c r="BCV15" s="137"/>
      <c r="BCW15" s="137"/>
      <c r="BCX15" s="137"/>
      <c r="BCY15" s="137"/>
      <c r="BCZ15" s="137"/>
      <c r="BDA15" s="137"/>
      <c r="BDB15" s="137"/>
      <c r="BDC15" s="137"/>
      <c r="BDD15" s="137"/>
      <c r="BDE15" s="137"/>
      <c r="BDF15" s="137"/>
      <c r="BDG15" s="137"/>
      <c r="BDH15" s="137"/>
      <c r="BDI15" s="137"/>
      <c r="BDJ15" s="137"/>
      <c r="BDK15" s="137"/>
      <c r="BDL15" s="137"/>
      <c r="BDM15" s="137"/>
      <c r="BDN15" s="137"/>
      <c r="BDO15" s="137"/>
      <c r="BDP15" s="137"/>
      <c r="BDQ15" s="137"/>
      <c r="BDR15" s="137"/>
      <c r="BDS15" s="137"/>
      <c r="BDT15" s="137"/>
      <c r="BDU15" s="137"/>
      <c r="BDV15" s="137"/>
      <c r="BDW15" s="137"/>
      <c r="BDX15" s="137"/>
      <c r="BDY15" s="137"/>
      <c r="BDZ15" s="137"/>
      <c r="BEA15" s="137"/>
      <c r="BEB15" s="137"/>
      <c r="BEC15" s="137"/>
      <c r="BED15" s="137"/>
      <c r="BEE15" s="137"/>
      <c r="BEF15" s="137"/>
      <c r="BEG15" s="137"/>
      <c r="BEH15" s="137"/>
      <c r="BEI15" s="137"/>
      <c r="BEJ15" s="137"/>
      <c r="BEK15" s="137"/>
      <c r="BEL15" s="137"/>
      <c r="BEM15" s="137"/>
      <c r="BEN15" s="137"/>
      <c r="BEO15" s="137"/>
      <c r="BEP15" s="137"/>
      <c r="BEQ15" s="137"/>
      <c r="BER15" s="137"/>
      <c r="BES15" s="137"/>
      <c r="BET15" s="137"/>
      <c r="BEU15" s="137"/>
      <c r="BEV15" s="137"/>
      <c r="BEW15" s="137"/>
      <c r="BEX15" s="137"/>
      <c r="BEY15" s="137"/>
      <c r="BEZ15" s="137"/>
      <c r="BFA15" s="137"/>
      <c r="BFB15" s="137"/>
      <c r="BFC15" s="137"/>
      <c r="BFD15" s="137"/>
      <c r="BFE15" s="137"/>
      <c r="BFF15" s="137"/>
      <c r="BFG15" s="137"/>
      <c r="BFH15" s="137"/>
      <c r="BFI15" s="137"/>
      <c r="BFJ15" s="137"/>
      <c r="BFK15" s="137"/>
      <c r="BFL15" s="137"/>
      <c r="BFM15" s="137"/>
      <c r="BFN15" s="137"/>
      <c r="BFO15" s="137"/>
      <c r="BFP15" s="137"/>
      <c r="BFQ15" s="137"/>
      <c r="BFR15" s="137"/>
      <c r="BFS15" s="137"/>
      <c r="BFT15" s="137"/>
      <c r="BFU15" s="137"/>
      <c r="BFV15" s="137"/>
      <c r="BFW15" s="137"/>
      <c r="BFX15" s="137"/>
      <c r="BFY15" s="137"/>
      <c r="BFZ15" s="137"/>
      <c r="BGA15" s="137"/>
      <c r="BGB15" s="137"/>
      <c r="BGC15" s="137"/>
      <c r="BGD15" s="137"/>
      <c r="BGE15" s="137"/>
      <c r="BGF15" s="137"/>
      <c r="BGG15" s="137"/>
      <c r="BGH15" s="137"/>
      <c r="BGI15" s="137"/>
      <c r="BGJ15" s="137"/>
      <c r="BGK15" s="137"/>
      <c r="BGL15" s="137"/>
      <c r="BGM15" s="137"/>
      <c r="BGN15" s="137"/>
      <c r="BGO15" s="137"/>
      <c r="BGP15" s="137"/>
      <c r="BGQ15" s="137"/>
      <c r="BGR15" s="137"/>
      <c r="BGS15" s="137"/>
      <c r="BGT15" s="137"/>
      <c r="BGU15" s="137"/>
      <c r="BGV15" s="137"/>
      <c r="BGW15" s="137"/>
      <c r="BGX15" s="137"/>
      <c r="BGY15" s="137"/>
      <c r="BGZ15" s="137"/>
      <c r="BHA15" s="137"/>
      <c r="BHB15" s="137"/>
      <c r="BHC15" s="137"/>
      <c r="BHD15" s="137"/>
      <c r="BHE15" s="137"/>
      <c r="BHF15" s="137"/>
      <c r="BHG15" s="137"/>
      <c r="BHH15" s="137"/>
      <c r="BHI15" s="137"/>
      <c r="BHJ15" s="137"/>
      <c r="BHK15" s="137"/>
      <c r="BHL15" s="137"/>
      <c r="BHM15" s="137"/>
      <c r="BHN15" s="137"/>
      <c r="BHO15" s="137"/>
      <c r="BHP15" s="137"/>
      <c r="BHQ15" s="137"/>
      <c r="BHR15" s="137"/>
      <c r="BHS15" s="137"/>
      <c r="BHT15" s="137"/>
      <c r="BHU15" s="137"/>
      <c r="BHV15" s="137"/>
      <c r="BHW15" s="137"/>
      <c r="BHX15" s="137"/>
      <c r="BHY15" s="137"/>
      <c r="BHZ15" s="137"/>
      <c r="BIA15" s="137"/>
      <c r="BIB15" s="137"/>
      <c r="BIC15" s="137"/>
      <c r="BID15" s="137"/>
      <c r="BIE15" s="137"/>
      <c r="BIF15" s="137"/>
      <c r="BIG15" s="137"/>
      <c r="BIH15" s="137"/>
      <c r="BII15" s="137"/>
      <c r="BIJ15" s="137"/>
      <c r="BIK15" s="137"/>
      <c r="BIL15" s="137"/>
      <c r="BIM15" s="137"/>
      <c r="BIN15" s="137"/>
      <c r="BIO15" s="137"/>
      <c r="BIP15" s="137"/>
      <c r="BIQ15" s="137"/>
      <c r="BIR15" s="137"/>
      <c r="BIS15" s="137"/>
      <c r="BIT15" s="137"/>
      <c r="BIU15" s="137"/>
      <c r="BIV15" s="137"/>
      <c r="BIW15" s="137"/>
      <c r="BIX15" s="137"/>
      <c r="BIY15" s="137"/>
      <c r="BIZ15" s="137"/>
      <c r="BJA15" s="137"/>
      <c r="BJB15" s="137"/>
      <c r="BJC15" s="137"/>
      <c r="BJD15" s="137"/>
      <c r="BJE15" s="137"/>
      <c r="BJF15" s="137"/>
      <c r="BJG15" s="137"/>
      <c r="BJH15" s="137"/>
      <c r="BJI15" s="137"/>
      <c r="BJJ15" s="137"/>
      <c r="BJK15" s="137"/>
      <c r="BJL15" s="137"/>
      <c r="BJM15" s="137"/>
      <c r="BJN15" s="137"/>
      <c r="BJO15" s="137"/>
      <c r="BJP15" s="137"/>
      <c r="BJQ15" s="137"/>
      <c r="BJR15" s="137"/>
      <c r="BJS15" s="137"/>
      <c r="BJT15" s="137"/>
      <c r="BJU15" s="137"/>
      <c r="BJV15" s="137"/>
      <c r="BJW15" s="137"/>
      <c r="BJX15" s="137"/>
      <c r="BJY15" s="137"/>
      <c r="BJZ15" s="137"/>
      <c r="BKA15" s="137"/>
      <c r="BKB15" s="137"/>
      <c r="BKC15" s="137"/>
      <c r="BKD15" s="137"/>
      <c r="BKE15" s="137"/>
      <c r="BKF15" s="137"/>
      <c r="BKG15" s="137"/>
      <c r="BKH15" s="137"/>
      <c r="BKI15" s="137"/>
      <c r="BKJ15" s="137"/>
      <c r="BKK15" s="137"/>
      <c r="BKL15" s="137"/>
      <c r="BKM15" s="137"/>
      <c r="BKN15" s="137"/>
      <c r="BKO15" s="137"/>
      <c r="BKP15" s="137"/>
      <c r="BKQ15" s="137"/>
      <c r="BKR15" s="137"/>
      <c r="BKS15" s="137"/>
      <c r="BKT15" s="137"/>
      <c r="BKU15" s="137"/>
      <c r="BKV15" s="137"/>
      <c r="BKW15" s="137"/>
      <c r="BKX15" s="137"/>
      <c r="BKY15" s="137"/>
      <c r="BKZ15" s="137"/>
      <c r="BLA15" s="137"/>
      <c r="BLB15" s="137"/>
      <c r="BLC15" s="137"/>
      <c r="BLD15" s="137"/>
      <c r="BLE15" s="137"/>
      <c r="BLF15" s="137"/>
      <c r="BLG15" s="137"/>
      <c r="BLH15" s="137"/>
      <c r="BLI15" s="137"/>
      <c r="BLJ15" s="137"/>
      <c r="BLK15" s="137"/>
      <c r="BLL15" s="137"/>
      <c r="BLM15" s="137"/>
      <c r="BLN15" s="137"/>
      <c r="BLO15" s="137"/>
      <c r="BLP15" s="137"/>
      <c r="BLQ15" s="137"/>
      <c r="BLR15" s="137"/>
      <c r="BLS15" s="137"/>
      <c r="BLT15" s="137"/>
      <c r="BLU15" s="137"/>
      <c r="BLV15" s="137"/>
      <c r="BLW15" s="137"/>
      <c r="BLX15" s="137"/>
      <c r="BLY15" s="137"/>
      <c r="BLZ15" s="137"/>
      <c r="BMA15" s="137"/>
      <c r="BMB15" s="137"/>
      <c r="BMC15" s="137"/>
      <c r="BMD15" s="137"/>
      <c r="BME15" s="137"/>
      <c r="BMF15" s="137"/>
      <c r="BMG15" s="137"/>
      <c r="BMH15" s="137"/>
      <c r="BMI15" s="137"/>
      <c r="BMJ15" s="137"/>
      <c r="BMK15" s="137"/>
      <c r="BML15" s="137"/>
      <c r="BMM15" s="137"/>
      <c r="BMN15" s="137"/>
      <c r="BMO15" s="137"/>
      <c r="BMP15" s="137"/>
      <c r="BMQ15" s="137"/>
      <c r="BMR15" s="137"/>
      <c r="BMS15" s="137"/>
      <c r="BMT15" s="137"/>
      <c r="BMU15" s="137"/>
      <c r="BMV15" s="137"/>
      <c r="BMW15" s="137"/>
      <c r="BMX15" s="137"/>
      <c r="BMY15" s="137"/>
      <c r="BMZ15" s="137"/>
      <c r="BNA15" s="137"/>
      <c r="BNB15" s="137"/>
      <c r="BNC15" s="137"/>
      <c r="BND15" s="137"/>
      <c r="BNE15" s="137"/>
      <c r="BNF15" s="137"/>
      <c r="BNG15" s="137"/>
      <c r="BNH15" s="137"/>
      <c r="BNI15" s="137"/>
      <c r="BNJ15" s="137"/>
      <c r="BNK15" s="137"/>
      <c r="BNL15" s="137"/>
      <c r="BNM15" s="137"/>
      <c r="BNN15" s="137"/>
      <c r="BNO15" s="137"/>
      <c r="BNP15" s="137"/>
      <c r="BNQ15" s="137"/>
      <c r="BNR15" s="137"/>
      <c r="BNS15" s="137"/>
      <c r="BNT15" s="137"/>
      <c r="BNU15" s="137"/>
      <c r="BNV15" s="137"/>
      <c r="BNW15" s="137"/>
      <c r="BNX15" s="137"/>
      <c r="BNY15" s="137"/>
      <c r="BNZ15" s="137"/>
      <c r="BOA15" s="137"/>
      <c r="BOB15" s="137"/>
      <c r="BOC15" s="137"/>
      <c r="BOD15" s="137"/>
      <c r="BOE15" s="137"/>
      <c r="BOF15" s="137"/>
      <c r="BOG15" s="137"/>
      <c r="BOH15" s="137"/>
      <c r="BOI15" s="137"/>
      <c r="BOJ15" s="137"/>
      <c r="BOK15" s="137"/>
      <c r="BOL15" s="137"/>
      <c r="BOM15" s="137"/>
      <c r="BON15" s="137"/>
      <c r="BOO15" s="137"/>
      <c r="BOP15" s="137"/>
      <c r="BOQ15" s="137"/>
      <c r="BOR15" s="137"/>
      <c r="BOS15" s="137"/>
      <c r="BOT15" s="137"/>
      <c r="BOU15" s="137"/>
      <c r="BOV15" s="137"/>
      <c r="BOW15" s="137"/>
      <c r="BOX15" s="137"/>
      <c r="BOY15" s="137"/>
      <c r="BOZ15" s="137"/>
      <c r="BPA15" s="137"/>
      <c r="BPB15" s="137"/>
      <c r="BPC15" s="137"/>
      <c r="BPD15" s="137"/>
      <c r="BPE15" s="137"/>
      <c r="BPF15" s="137"/>
      <c r="BPG15" s="137"/>
      <c r="BPH15" s="137"/>
      <c r="BPI15" s="137"/>
      <c r="BPJ15" s="137"/>
      <c r="BPK15" s="137"/>
      <c r="BPL15" s="137"/>
      <c r="BPM15" s="137"/>
      <c r="BPN15" s="137"/>
      <c r="BPO15" s="137"/>
      <c r="BPP15" s="137"/>
      <c r="BPQ15" s="137"/>
      <c r="BPR15" s="137"/>
      <c r="BPS15" s="137"/>
      <c r="BPT15" s="137"/>
      <c r="BPU15" s="137"/>
      <c r="BPV15" s="137"/>
      <c r="BPW15" s="137"/>
      <c r="BPX15" s="137"/>
      <c r="BPY15" s="137"/>
      <c r="BPZ15" s="137"/>
      <c r="BQA15" s="137"/>
      <c r="BQB15" s="137"/>
      <c r="BQC15" s="137"/>
      <c r="BQD15" s="137"/>
      <c r="BQE15" s="137"/>
      <c r="BQF15" s="137"/>
      <c r="BQG15" s="137"/>
      <c r="BQH15" s="137"/>
      <c r="BQI15" s="137"/>
      <c r="BQJ15" s="137"/>
      <c r="BQK15" s="137"/>
      <c r="BQL15" s="137"/>
      <c r="BQM15" s="137"/>
      <c r="BQN15" s="137"/>
      <c r="BQO15" s="137"/>
      <c r="BQP15" s="137"/>
      <c r="BQQ15" s="137"/>
      <c r="BQR15" s="137"/>
      <c r="BQS15" s="137"/>
      <c r="BQT15" s="137"/>
      <c r="BQU15" s="137"/>
      <c r="BQV15" s="137"/>
      <c r="BQW15" s="137"/>
      <c r="BQX15" s="137"/>
      <c r="BQY15" s="137"/>
      <c r="BQZ15" s="137"/>
      <c r="BRA15" s="137"/>
      <c r="BRB15" s="137"/>
      <c r="BRC15" s="137"/>
      <c r="BRD15" s="137"/>
      <c r="BRE15" s="137"/>
      <c r="BRF15" s="137"/>
      <c r="BRG15" s="137"/>
      <c r="BRH15" s="137"/>
      <c r="BRI15" s="137"/>
      <c r="BRJ15" s="137"/>
      <c r="BRK15" s="137"/>
      <c r="BRL15" s="137"/>
      <c r="BRM15" s="137"/>
      <c r="BRN15" s="137"/>
      <c r="BRO15" s="137"/>
      <c r="BRP15" s="137"/>
      <c r="BRQ15" s="137"/>
      <c r="BRR15" s="137"/>
      <c r="BRS15" s="137"/>
      <c r="BRT15" s="137"/>
      <c r="BRU15" s="137"/>
      <c r="BRV15" s="137"/>
      <c r="BRW15" s="137"/>
      <c r="BRX15" s="137"/>
      <c r="BRY15" s="137"/>
      <c r="BRZ15" s="137"/>
      <c r="BSA15" s="137"/>
      <c r="BSB15" s="137"/>
      <c r="BSC15" s="137"/>
      <c r="BSD15" s="137"/>
      <c r="BSE15" s="137"/>
      <c r="BSF15" s="137"/>
      <c r="BSG15" s="137"/>
      <c r="BSH15" s="137"/>
      <c r="BSI15" s="137"/>
      <c r="BSJ15" s="137"/>
      <c r="BSK15" s="137"/>
      <c r="BSL15" s="137"/>
      <c r="BSM15" s="137"/>
      <c r="BSN15" s="137"/>
      <c r="BSO15" s="137"/>
      <c r="BSP15" s="137"/>
      <c r="BSQ15" s="137"/>
      <c r="BSR15" s="137"/>
      <c r="BSS15" s="137"/>
      <c r="BST15" s="137"/>
      <c r="BSU15" s="137"/>
      <c r="BSV15" s="137"/>
      <c r="BSW15" s="137"/>
      <c r="BSX15" s="137"/>
      <c r="BSY15" s="137"/>
      <c r="BSZ15" s="137"/>
      <c r="BTA15" s="137"/>
      <c r="BTB15" s="137"/>
      <c r="BTC15" s="137"/>
      <c r="BTD15" s="137"/>
      <c r="BTE15" s="137"/>
      <c r="BTF15" s="137"/>
      <c r="BTG15" s="137"/>
      <c r="BTH15" s="137"/>
      <c r="BTI15" s="137"/>
      <c r="BTJ15" s="137"/>
      <c r="BTK15" s="137"/>
      <c r="BTL15" s="137"/>
      <c r="BTM15" s="137"/>
      <c r="BTN15" s="137"/>
      <c r="BTO15" s="137"/>
      <c r="BTP15" s="137"/>
      <c r="BTQ15" s="137"/>
      <c r="BTR15" s="137"/>
      <c r="BTS15" s="137"/>
      <c r="BTT15" s="137"/>
      <c r="BTU15" s="137"/>
      <c r="BTV15" s="137"/>
      <c r="BTW15" s="137"/>
      <c r="BTX15" s="137"/>
      <c r="BTY15" s="137"/>
      <c r="BTZ15" s="137"/>
      <c r="BUA15" s="137"/>
      <c r="BUB15" s="137"/>
      <c r="BUC15" s="137"/>
      <c r="BUD15" s="137"/>
      <c r="BUE15" s="137"/>
      <c r="BUF15" s="137"/>
      <c r="BUG15" s="137"/>
      <c r="BUH15" s="137"/>
      <c r="BUI15" s="137"/>
      <c r="BUJ15" s="137"/>
      <c r="BUK15" s="137"/>
      <c r="BUL15" s="137"/>
      <c r="BUM15" s="137"/>
      <c r="BUN15" s="137"/>
      <c r="BUO15" s="137"/>
      <c r="BUP15" s="137"/>
      <c r="BUQ15" s="137"/>
      <c r="BUR15" s="137"/>
      <c r="BUS15" s="137"/>
      <c r="BUT15" s="137"/>
      <c r="BUU15" s="137"/>
      <c r="BUV15" s="137"/>
      <c r="BUW15" s="137"/>
      <c r="BUX15" s="137"/>
      <c r="BUY15" s="137"/>
      <c r="BUZ15" s="137"/>
      <c r="BVA15" s="137"/>
      <c r="BVB15" s="137"/>
      <c r="BVC15" s="137"/>
      <c r="BVD15" s="137"/>
      <c r="BVE15" s="137"/>
      <c r="BVF15" s="137"/>
      <c r="BVG15" s="137"/>
      <c r="BVH15" s="137"/>
      <c r="BVI15" s="137"/>
      <c r="BVJ15" s="137"/>
      <c r="BVK15" s="137"/>
      <c r="BVL15" s="137"/>
      <c r="BVM15" s="137"/>
      <c r="BVN15" s="137"/>
      <c r="BVO15" s="137"/>
      <c r="BVP15" s="137"/>
      <c r="BVQ15" s="137"/>
      <c r="BVR15" s="137"/>
      <c r="BVS15" s="137"/>
      <c r="BVT15" s="137"/>
      <c r="BVU15" s="137"/>
      <c r="BVV15" s="137"/>
      <c r="BVW15" s="137"/>
      <c r="BVX15" s="137"/>
      <c r="BVY15" s="137"/>
      <c r="BVZ15" s="137"/>
      <c r="BWA15" s="137"/>
      <c r="BWB15" s="137"/>
      <c r="BWC15" s="137"/>
      <c r="BWD15" s="137"/>
      <c r="BWE15" s="137"/>
      <c r="BWF15" s="137"/>
      <c r="BWG15" s="137"/>
      <c r="BWH15" s="137"/>
      <c r="BWI15" s="137"/>
      <c r="BWJ15" s="137"/>
      <c r="BWK15" s="137"/>
      <c r="BWL15" s="137"/>
      <c r="BWM15" s="137"/>
      <c r="BWN15" s="137"/>
      <c r="BWO15" s="137"/>
      <c r="BWP15" s="137"/>
      <c r="BWQ15" s="137"/>
      <c r="BWR15" s="137"/>
      <c r="BWS15" s="137"/>
      <c r="BWT15" s="137"/>
      <c r="BWU15" s="137"/>
      <c r="BWV15" s="137"/>
      <c r="BWW15" s="137"/>
      <c r="BWX15" s="137"/>
      <c r="BWY15" s="137"/>
      <c r="BWZ15" s="137"/>
      <c r="BXA15" s="137"/>
      <c r="BXB15" s="137"/>
      <c r="BXC15" s="137"/>
      <c r="BXD15" s="137"/>
      <c r="BXE15" s="137"/>
      <c r="BXF15" s="137"/>
      <c r="BXG15" s="137"/>
      <c r="BXH15" s="137"/>
      <c r="BXI15" s="137"/>
      <c r="BXJ15" s="137"/>
      <c r="BXK15" s="137"/>
      <c r="BXL15" s="137"/>
      <c r="BXM15" s="137"/>
      <c r="BXN15" s="137"/>
      <c r="BXO15" s="137"/>
      <c r="BXP15" s="137"/>
      <c r="BXQ15" s="137"/>
      <c r="BXR15" s="137"/>
      <c r="BXS15" s="137"/>
      <c r="BXT15" s="137"/>
      <c r="BXU15" s="137"/>
      <c r="BXV15" s="137"/>
      <c r="BXW15" s="137"/>
      <c r="BXX15" s="137"/>
      <c r="BXY15" s="137"/>
      <c r="BXZ15" s="137"/>
      <c r="BYA15" s="137"/>
      <c r="BYB15" s="137"/>
      <c r="BYC15" s="137"/>
      <c r="BYD15" s="137"/>
      <c r="BYE15" s="137"/>
      <c r="BYF15" s="137"/>
      <c r="BYG15" s="137"/>
      <c r="BYH15" s="137"/>
      <c r="BYI15" s="137"/>
      <c r="BYJ15" s="137"/>
      <c r="BYK15" s="137"/>
      <c r="BYL15" s="137"/>
      <c r="BYM15" s="137"/>
      <c r="BYN15" s="137"/>
      <c r="BYO15" s="137"/>
      <c r="BYP15" s="137"/>
      <c r="BYQ15" s="137"/>
      <c r="BYR15" s="137"/>
      <c r="BYS15" s="137"/>
      <c r="BYT15" s="137"/>
      <c r="BYU15" s="137"/>
      <c r="BYV15" s="137"/>
      <c r="BYW15" s="137"/>
      <c r="BYX15" s="137"/>
      <c r="BYY15" s="137"/>
      <c r="BYZ15" s="137"/>
      <c r="BZA15" s="137"/>
      <c r="BZB15" s="137"/>
      <c r="BZC15" s="137"/>
      <c r="BZD15" s="137"/>
      <c r="BZE15" s="137"/>
      <c r="BZF15" s="137"/>
      <c r="BZG15" s="137"/>
      <c r="BZH15" s="137"/>
      <c r="BZI15" s="137"/>
      <c r="BZJ15" s="137"/>
      <c r="BZK15" s="137"/>
      <c r="BZL15" s="137"/>
      <c r="BZM15" s="137"/>
      <c r="BZN15" s="137"/>
      <c r="BZO15" s="137"/>
      <c r="BZP15" s="137"/>
      <c r="BZQ15" s="137"/>
      <c r="BZR15" s="137"/>
      <c r="BZS15" s="137"/>
      <c r="BZT15" s="137"/>
      <c r="BZU15" s="137"/>
      <c r="BZV15" s="137"/>
      <c r="BZW15" s="137"/>
      <c r="BZX15" s="137"/>
      <c r="BZY15" s="137"/>
      <c r="BZZ15" s="137"/>
      <c r="CAA15" s="137"/>
      <c r="CAB15" s="137"/>
      <c r="CAC15" s="137"/>
      <c r="CAD15" s="137"/>
      <c r="CAE15" s="137"/>
      <c r="CAF15" s="137"/>
      <c r="CAG15" s="137"/>
      <c r="CAH15" s="137"/>
      <c r="CAI15" s="137"/>
      <c r="CAJ15" s="137"/>
      <c r="CAK15" s="137"/>
      <c r="CAL15" s="137"/>
      <c r="CAM15" s="137"/>
      <c r="CAN15" s="137"/>
      <c r="CAO15" s="137"/>
      <c r="CAP15" s="137"/>
      <c r="CAQ15" s="137"/>
      <c r="CAR15" s="137"/>
      <c r="CAS15" s="137"/>
      <c r="CAT15" s="137"/>
      <c r="CAU15" s="137"/>
      <c r="CAV15" s="137"/>
      <c r="CAW15" s="137"/>
      <c r="CAX15" s="137"/>
      <c r="CAY15" s="137"/>
      <c r="CAZ15" s="137"/>
      <c r="CBA15" s="137"/>
      <c r="CBB15" s="137"/>
      <c r="CBC15" s="137"/>
      <c r="CBD15" s="137"/>
      <c r="CBE15" s="137"/>
      <c r="CBF15" s="137"/>
      <c r="CBG15" s="137"/>
      <c r="CBH15" s="137"/>
      <c r="CBI15" s="137"/>
      <c r="CBJ15" s="137"/>
      <c r="CBK15" s="137"/>
      <c r="CBL15" s="137"/>
      <c r="CBM15" s="137"/>
      <c r="CBN15" s="137"/>
      <c r="CBO15" s="137"/>
      <c r="CBP15" s="137"/>
      <c r="CBQ15" s="137"/>
      <c r="CBR15" s="137"/>
      <c r="CBS15" s="137"/>
      <c r="CBT15" s="137"/>
      <c r="CBU15" s="137"/>
      <c r="CBV15" s="137"/>
      <c r="CBW15" s="137"/>
      <c r="CBX15" s="137"/>
      <c r="CBY15" s="137"/>
      <c r="CBZ15" s="137"/>
      <c r="CCA15" s="137"/>
      <c r="CCB15" s="137"/>
      <c r="CCC15" s="137"/>
      <c r="CCD15" s="137"/>
      <c r="CCE15" s="137"/>
      <c r="CCF15" s="137"/>
      <c r="CCG15" s="137"/>
      <c r="CCH15" s="137"/>
      <c r="CCI15" s="137"/>
      <c r="CCJ15" s="137"/>
      <c r="CCK15" s="137"/>
      <c r="CCL15" s="137"/>
      <c r="CCM15" s="137"/>
      <c r="CCN15" s="137"/>
      <c r="CCO15" s="137"/>
      <c r="CCP15" s="137"/>
      <c r="CCQ15" s="137"/>
      <c r="CCR15" s="137"/>
      <c r="CCS15" s="137"/>
      <c r="CCT15" s="137"/>
      <c r="CCU15" s="137"/>
      <c r="CCV15" s="137"/>
      <c r="CCW15" s="137"/>
      <c r="CCX15" s="137"/>
      <c r="CCY15" s="137"/>
      <c r="CCZ15" s="137"/>
      <c r="CDA15" s="137"/>
      <c r="CDB15" s="137"/>
      <c r="CDC15" s="137"/>
      <c r="CDD15" s="137"/>
      <c r="CDE15" s="137"/>
      <c r="CDF15" s="137"/>
      <c r="CDG15" s="137"/>
      <c r="CDH15" s="137"/>
      <c r="CDI15" s="137"/>
      <c r="CDJ15" s="137"/>
      <c r="CDK15" s="137"/>
      <c r="CDL15" s="137"/>
      <c r="CDM15" s="137"/>
      <c r="CDN15" s="137"/>
      <c r="CDO15" s="137"/>
      <c r="CDP15" s="137"/>
      <c r="CDQ15" s="137"/>
      <c r="CDR15" s="137"/>
      <c r="CDS15" s="137"/>
      <c r="CDT15" s="137"/>
      <c r="CDU15" s="137"/>
      <c r="CDV15" s="137"/>
      <c r="CDW15" s="137"/>
      <c r="CDX15" s="137"/>
      <c r="CDY15" s="137"/>
      <c r="CDZ15" s="137"/>
      <c r="CEA15" s="137"/>
      <c r="CEB15" s="137"/>
      <c r="CEC15" s="137"/>
      <c r="CED15" s="137"/>
      <c r="CEE15" s="137"/>
      <c r="CEF15" s="137"/>
      <c r="CEG15" s="137"/>
      <c r="CEH15" s="137"/>
      <c r="CEI15" s="137"/>
      <c r="CEJ15" s="137"/>
      <c r="CEK15" s="137"/>
      <c r="CEL15" s="137"/>
      <c r="CEM15" s="137"/>
      <c r="CEN15" s="137"/>
      <c r="CEO15" s="137"/>
      <c r="CEP15" s="137"/>
      <c r="CEQ15" s="137"/>
      <c r="CER15" s="137"/>
      <c r="CES15" s="137"/>
      <c r="CET15" s="137"/>
      <c r="CEU15" s="137"/>
      <c r="CEV15" s="137"/>
      <c r="CEW15" s="137"/>
      <c r="CEX15" s="137"/>
      <c r="CEY15" s="137"/>
      <c r="CEZ15" s="137"/>
      <c r="CFA15" s="137"/>
      <c r="CFB15" s="137"/>
      <c r="CFC15" s="137"/>
      <c r="CFD15" s="137"/>
      <c r="CFE15" s="137"/>
      <c r="CFF15" s="137"/>
      <c r="CFG15" s="137"/>
      <c r="CFH15" s="137"/>
      <c r="CFI15" s="137"/>
      <c r="CFJ15" s="137"/>
      <c r="CFK15" s="137"/>
      <c r="CFL15" s="137"/>
      <c r="CFM15" s="137"/>
      <c r="CFN15" s="137"/>
      <c r="CFO15" s="137"/>
      <c r="CFP15" s="137"/>
      <c r="CFQ15" s="137"/>
      <c r="CFR15" s="137"/>
      <c r="CFS15" s="137"/>
      <c r="CFT15" s="137"/>
      <c r="CFU15" s="137"/>
      <c r="CFV15" s="137"/>
      <c r="CFW15" s="137"/>
      <c r="CFX15" s="137"/>
      <c r="CFY15" s="137"/>
      <c r="CFZ15" s="137"/>
      <c r="CGA15" s="137"/>
      <c r="CGB15" s="137"/>
      <c r="CGC15" s="137"/>
      <c r="CGD15" s="137"/>
      <c r="CGE15" s="137"/>
      <c r="CGF15" s="137"/>
      <c r="CGG15" s="137"/>
      <c r="CGH15" s="137"/>
      <c r="CGI15" s="137"/>
      <c r="CGJ15" s="137"/>
      <c r="CGK15" s="137"/>
      <c r="CGL15" s="137"/>
      <c r="CGM15" s="137"/>
      <c r="CGN15" s="137"/>
      <c r="CGO15" s="137"/>
      <c r="CGP15" s="137"/>
      <c r="CGQ15" s="137"/>
      <c r="CGR15" s="137"/>
      <c r="CGS15" s="137"/>
      <c r="CGT15" s="137"/>
      <c r="CGU15" s="137"/>
      <c r="CGV15" s="137"/>
      <c r="CGW15" s="137"/>
      <c r="CGX15" s="137"/>
      <c r="CGY15" s="137"/>
      <c r="CGZ15" s="137"/>
      <c r="CHA15" s="137"/>
      <c r="CHB15" s="137"/>
      <c r="CHC15" s="137"/>
      <c r="CHD15" s="137"/>
      <c r="CHE15" s="137"/>
      <c r="CHF15" s="137"/>
      <c r="CHG15" s="137"/>
      <c r="CHH15" s="137"/>
      <c r="CHI15" s="137"/>
      <c r="CHJ15" s="137"/>
      <c r="CHK15" s="137"/>
      <c r="CHL15" s="137"/>
      <c r="CHM15" s="137"/>
      <c r="CHN15" s="137"/>
      <c r="CHO15" s="137"/>
      <c r="CHP15" s="137"/>
      <c r="CHQ15" s="137"/>
      <c r="CHR15" s="137"/>
      <c r="CHS15" s="137"/>
      <c r="CHT15" s="137"/>
      <c r="CHU15" s="137"/>
      <c r="CHV15" s="137"/>
      <c r="CHW15" s="137"/>
      <c r="CHX15" s="137"/>
      <c r="CHY15" s="137"/>
      <c r="CHZ15" s="137"/>
      <c r="CIA15" s="137"/>
      <c r="CIB15" s="137"/>
      <c r="CIC15" s="137"/>
      <c r="CID15" s="137"/>
      <c r="CIE15" s="137"/>
      <c r="CIF15" s="137"/>
      <c r="CIG15" s="137"/>
      <c r="CIH15" s="137"/>
      <c r="CII15" s="137"/>
      <c r="CIJ15" s="137"/>
      <c r="CIK15" s="137"/>
      <c r="CIL15" s="137"/>
      <c r="CIM15" s="137"/>
      <c r="CIN15" s="137"/>
      <c r="CIO15" s="137"/>
      <c r="CIP15" s="137"/>
      <c r="CIQ15" s="137"/>
      <c r="CIR15" s="137"/>
      <c r="CIS15" s="137"/>
      <c r="CIT15" s="137"/>
      <c r="CIU15" s="137"/>
      <c r="CIV15" s="137"/>
      <c r="CIW15" s="137"/>
      <c r="CIX15" s="137"/>
      <c r="CIY15" s="137"/>
      <c r="CIZ15" s="137"/>
      <c r="CJA15" s="137"/>
      <c r="CJB15" s="137"/>
      <c r="CJC15" s="137"/>
      <c r="CJD15" s="137"/>
      <c r="CJE15" s="137"/>
      <c r="CJF15" s="137"/>
      <c r="CJG15" s="137"/>
      <c r="CJH15" s="137"/>
      <c r="CJI15" s="137"/>
      <c r="CJJ15" s="137"/>
      <c r="CJK15" s="137"/>
      <c r="CJL15" s="137"/>
      <c r="CJM15" s="137"/>
      <c r="CJN15" s="137"/>
      <c r="CJO15" s="137"/>
      <c r="CJP15" s="137"/>
      <c r="CJQ15" s="137"/>
      <c r="CJR15" s="137"/>
      <c r="CJS15" s="137"/>
      <c r="CJT15" s="137"/>
      <c r="CJU15" s="137"/>
      <c r="CJV15" s="137"/>
      <c r="CJW15" s="137"/>
      <c r="CJX15" s="137"/>
      <c r="CJY15" s="137"/>
      <c r="CJZ15" s="137"/>
      <c r="CKA15" s="137"/>
      <c r="CKB15" s="137"/>
      <c r="CKC15" s="137"/>
      <c r="CKD15" s="137"/>
      <c r="CKE15" s="137"/>
      <c r="CKF15" s="137"/>
      <c r="CKG15" s="137"/>
      <c r="CKH15" s="137"/>
      <c r="CKI15" s="137"/>
      <c r="CKJ15" s="137"/>
      <c r="CKK15" s="137"/>
      <c r="CKL15" s="137"/>
      <c r="CKM15" s="137"/>
      <c r="CKN15" s="137"/>
      <c r="CKO15" s="137"/>
      <c r="CKP15" s="137"/>
      <c r="CKQ15" s="137"/>
      <c r="CKR15" s="137"/>
      <c r="CKS15" s="137"/>
      <c r="CKT15" s="137"/>
      <c r="CKU15" s="137"/>
      <c r="CKV15" s="137"/>
      <c r="CKW15" s="137"/>
      <c r="CKX15" s="137"/>
      <c r="CKY15" s="137"/>
      <c r="CKZ15" s="137"/>
      <c r="CLA15" s="137"/>
      <c r="CLB15" s="137"/>
      <c r="CLC15" s="137"/>
      <c r="CLD15" s="137"/>
      <c r="CLE15" s="137"/>
      <c r="CLF15" s="137"/>
      <c r="CLG15" s="137"/>
      <c r="CLH15" s="137"/>
      <c r="CLI15" s="137"/>
      <c r="CLJ15" s="137"/>
      <c r="CLK15" s="137"/>
      <c r="CLL15" s="137"/>
      <c r="CLM15" s="137"/>
      <c r="CLN15" s="137"/>
      <c r="CLO15" s="137"/>
      <c r="CLP15" s="137"/>
      <c r="CLQ15" s="137"/>
      <c r="CLR15" s="137"/>
      <c r="CLS15" s="137"/>
      <c r="CLT15" s="137"/>
      <c r="CLU15" s="137"/>
      <c r="CLV15" s="137"/>
      <c r="CLW15" s="137"/>
      <c r="CLX15" s="137"/>
      <c r="CLY15" s="137"/>
      <c r="CLZ15" s="137"/>
      <c r="CMA15" s="137"/>
      <c r="CMB15" s="137"/>
      <c r="CMC15" s="137"/>
      <c r="CMD15" s="137"/>
      <c r="CME15" s="137"/>
      <c r="CMF15" s="137"/>
      <c r="CMG15" s="137"/>
      <c r="CMH15" s="137"/>
      <c r="CMI15" s="137"/>
      <c r="CMJ15" s="137"/>
      <c r="CMK15" s="137"/>
      <c r="CML15" s="137"/>
      <c r="CMM15" s="137"/>
      <c r="CMN15" s="137"/>
      <c r="CMO15" s="137"/>
      <c r="CMP15" s="137"/>
      <c r="CMQ15" s="137"/>
      <c r="CMR15" s="137"/>
      <c r="CMS15" s="137"/>
      <c r="CMT15" s="137"/>
      <c r="CMU15" s="137"/>
      <c r="CMV15" s="137"/>
      <c r="CMW15" s="137"/>
      <c r="CMX15" s="137"/>
      <c r="CMY15" s="137"/>
      <c r="CMZ15" s="137"/>
      <c r="CNA15" s="137"/>
      <c r="CNB15" s="137"/>
      <c r="CNC15" s="137"/>
      <c r="CND15" s="137"/>
      <c r="CNE15" s="137"/>
      <c r="CNF15" s="137"/>
      <c r="CNG15" s="137"/>
      <c r="CNH15" s="137"/>
      <c r="CNI15" s="137"/>
      <c r="CNJ15" s="137"/>
      <c r="CNK15" s="137"/>
      <c r="CNL15" s="137"/>
      <c r="CNM15" s="137"/>
      <c r="CNN15" s="137"/>
      <c r="CNO15" s="137"/>
      <c r="CNP15" s="137"/>
      <c r="CNQ15" s="137"/>
      <c r="CNR15" s="137"/>
      <c r="CNS15" s="137"/>
      <c r="CNT15" s="137"/>
      <c r="CNU15" s="137"/>
      <c r="CNV15" s="137"/>
      <c r="CNW15" s="137"/>
      <c r="CNX15" s="137"/>
      <c r="CNY15" s="137"/>
      <c r="CNZ15" s="137"/>
      <c r="COA15" s="137"/>
      <c r="COB15" s="137"/>
      <c r="COC15" s="137"/>
      <c r="COD15" s="137"/>
      <c r="COE15" s="137"/>
      <c r="COF15" s="137"/>
      <c r="COG15" s="137"/>
      <c r="COH15" s="137"/>
      <c r="COI15" s="137"/>
      <c r="COJ15" s="137"/>
      <c r="COK15" s="137"/>
      <c r="COL15" s="137"/>
      <c r="COM15" s="137"/>
      <c r="CON15" s="137"/>
      <c r="COO15" s="137"/>
      <c r="COP15" s="137"/>
      <c r="COQ15" s="137"/>
      <c r="COR15" s="137"/>
      <c r="COS15" s="137"/>
      <c r="COT15" s="137"/>
      <c r="COU15" s="137"/>
      <c r="COV15" s="137"/>
      <c r="COW15" s="137"/>
      <c r="COX15" s="137"/>
      <c r="COY15" s="137"/>
      <c r="COZ15" s="137"/>
      <c r="CPA15" s="137"/>
      <c r="CPB15" s="137"/>
      <c r="CPC15" s="137"/>
      <c r="CPD15" s="137"/>
      <c r="CPE15" s="137"/>
      <c r="CPF15" s="137"/>
      <c r="CPG15" s="137"/>
      <c r="CPH15" s="137"/>
      <c r="CPI15" s="137"/>
      <c r="CPJ15" s="137"/>
      <c r="CPK15" s="137"/>
      <c r="CPL15" s="137"/>
      <c r="CPM15" s="137"/>
      <c r="CPN15" s="137"/>
      <c r="CPO15" s="137"/>
      <c r="CPP15" s="137"/>
      <c r="CPQ15" s="137"/>
      <c r="CPR15" s="137"/>
      <c r="CPS15" s="137"/>
      <c r="CPT15" s="137"/>
      <c r="CPU15" s="137"/>
      <c r="CPV15" s="137"/>
      <c r="CPW15" s="137"/>
      <c r="CPX15" s="137"/>
      <c r="CPY15" s="137"/>
      <c r="CPZ15" s="137"/>
      <c r="CQA15" s="137"/>
      <c r="CQB15" s="137"/>
      <c r="CQC15" s="137"/>
      <c r="CQD15" s="137"/>
      <c r="CQE15" s="137"/>
      <c r="CQF15" s="137"/>
      <c r="CQG15" s="137"/>
      <c r="CQH15" s="137"/>
      <c r="CQI15" s="137"/>
      <c r="CQJ15" s="137"/>
      <c r="CQK15" s="137"/>
      <c r="CQL15" s="137"/>
      <c r="CQM15" s="137"/>
      <c r="CQN15" s="137"/>
      <c r="CQO15" s="137"/>
      <c r="CQP15" s="137"/>
      <c r="CQQ15" s="137"/>
      <c r="CQR15" s="137"/>
      <c r="CQS15" s="137"/>
      <c r="CQT15" s="137"/>
      <c r="CQU15" s="137"/>
      <c r="CQV15" s="137"/>
      <c r="CQW15" s="137"/>
      <c r="CQX15" s="137"/>
      <c r="CQY15" s="137"/>
      <c r="CQZ15" s="137"/>
      <c r="CRA15" s="137"/>
      <c r="CRB15" s="137"/>
      <c r="CRC15" s="137"/>
      <c r="CRD15" s="137"/>
      <c r="CRE15" s="137"/>
      <c r="CRF15" s="137"/>
      <c r="CRG15" s="137"/>
      <c r="CRH15" s="137"/>
      <c r="CRI15" s="137"/>
      <c r="CRJ15" s="137"/>
      <c r="CRK15" s="137"/>
      <c r="CRL15" s="137"/>
      <c r="CRM15" s="137"/>
      <c r="CRN15" s="137"/>
      <c r="CRO15" s="137"/>
      <c r="CRP15" s="137"/>
      <c r="CRQ15" s="137"/>
      <c r="CRR15" s="137"/>
      <c r="CRS15" s="137"/>
      <c r="CRT15" s="137"/>
      <c r="CRU15" s="137"/>
      <c r="CRV15" s="137"/>
      <c r="CRW15" s="137"/>
      <c r="CRX15" s="137"/>
      <c r="CRY15" s="137"/>
      <c r="CRZ15" s="137"/>
      <c r="CSA15" s="137"/>
      <c r="CSB15" s="137"/>
      <c r="CSC15" s="137"/>
      <c r="CSD15" s="137"/>
      <c r="CSE15" s="137"/>
      <c r="CSF15" s="137"/>
      <c r="CSG15" s="137"/>
      <c r="CSH15" s="137"/>
      <c r="CSI15" s="137"/>
      <c r="CSJ15" s="137"/>
      <c r="CSK15" s="137"/>
      <c r="CSL15" s="137"/>
      <c r="CSM15" s="137"/>
      <c r="CSN15" s="137"/>
      <c r="CSO15" s="137"/>
      <c r="CSP15" s="137"/>
      <c r="CSQ15" s="137"/>
      <c r="CSR15" s="137"/>
      <c r="CSS15" s="137"/>
      <c r="CST15" s="137"/>
      <c r="CSU15" s="137"/>
      <c r="CSV15" s="137"/>
      <c r="CSW15" s="137"/>
      <c r="CSX15" s="137"/>
      <c r="CSY15" s="137"/>
      <c r="CSZ15" s="137"/>
      <c r="CTA15" s="137"/>
      <c r="CTB15" s="137"/>
      <c r="CTC15" s="137"/>
      <c r="CTD15" s="137"/>
      <c r="CTE15" s="137"/>
      <c r="CTF15" s="137"/>
      <c r="CTG15" s="137"/>
      <c r="CTH15" s="137"/>
      <c r="CTI15" s="137"/>
      <c r="CTJ15" s="137"/>
      <c r="CTK15" s="137"/>
      <c r="CTL15" s="137"/>
      <c r="CTM15" s="137"/>
      <c r="CTN15" s="137"/>
      <c r="CTO15" s="137"/>
      <c r="CTP15" s="137"/>
      <c r="CTQ15" s="137"/>
      <c r="CTR15" s="137"/>
      <c r="CTS15" s="137"/>
      <c r="CTT15" s="137"/>
      <c r="CTU15" s="137"/>
      <c r="CTV15" s="137"/>
      <c r="CTW15" s="137"/>
      <c r="CTX15" s="137"/>
      <c r="CTY15" s="137"/>
      <c r="CTZ15" s="137"/>
      <c r="CUA15" s="137"/>
      <c r="CUB15" s="137"/>
      <c r="CUC15" s="137"/>
      <c r="CUD15" s="137"/>
      <c r="CUE15" s="137"/>
      <c r="CUF15" s="137"/>
      <c r="CUG15" s="137"/>
      <c r="CUH15" s="137"/>
      <c r="CUI15" s="137"/>
      <c r="CUJ15" s="137"/>
      <c r="CUK15" s="137"/>
      <c r="CUL15" s="137"/>
      <c r="CUM15" s="137"/>
      <c r="CUN15" s="137"/>
      <c r="CUO15" s="137"/>
      <c r="CUP15" s="137"/>
      <c r="CUQ15" s="137"/>
      <c r="CUR15" s="137"/>
      <c r="CUS15" s="137"/>
      <c r="CUT15" s="137"/>
      <c r="CUU15" s="137"/>
      <c r="CUV15" s="137"/>
      <c r="CUW15" s="137"/>
      <c r="CUX15" s="137"/>
      <c r="CUY15" s="137"/>
      <c r="CUZ15" s="137"/>
      <c r="CVA15" s="137"/>
      <c r="CVB15" s="137"/>
      <c r="CVC15" s="137"/>
      <c r="CVD15" s="137"/>
      <c r="CVE15" s="137"/>
      <c r="CVF15" s="137"/>
      <c r="CVG15" s="137"/>
      <c r="CVH15" s="137"/>
      <c r="CVI15" s="137"/>
      <c r="CVJ15" s="137"/>
      <c r="CVK15" s="137"/>
      <c r="CVL15" s="137"/>
      <c r="CVM15" s="137"/>
      <c r="CVN15" s="137"/>
      <c r="CVO15" s="137"/>
      <c r="CVP15" s="137"/>
      <c r="CVQ15" s="137"/>
      <c r="CVR15" s="137"/>
      <c r="CVS15" s="137"/>
      <c r="CVT15" s="137"/>
      <c r="CVU15" s="137"/>
      <c r="CVV15" s="137"/>
      <c r="CVW15" s="137"/>
      <c r="CVX15" s="137"/>
      <c r="CVY15" s="137"/>
      <c r="CVZ15" s="137"/>
      <c r="CWA15" s="137"/>
      <c r="CWB15" s="137"/>
      <c r="CWC15" s="137"/>
      <c r="CWD15" s="137"/>
      <c r="CWE15" s="137"/>
      <c r="CWF15" s="137"/>
      <c r="CWG15" s="137"/>
      <c r="CWH15" s="137"/>
      <c r="CWI15" s="137"/>
      <c r="CWJ15" s="137"/>
      <c r="CWK15" s="137"/>
      <c r="CWL15" s="137"/>
      <c r="CWM15" s="137"/>
      <c r="CWN15" s="137"/>
      <c r="CWO15" s="137"/>
      <c r="CWP15" s="137"/>
      <c r="CWQ15" s="137"/>
      <c r="CWR15" s="137"/>
      <c r="CWS15" s="137"/>
      <c r="CWT15" s="137"/>
      <c r="CWU15" s="137"/>
      <c r="CWV15" s="137"/>
      <c r="CWW15" s="137"/>
      <c r="CWX15" s="137"/>
      <c r="CWY15" s="137"/>
      <c r="CWZ15" s="137"/>
      <c r="CXA15" s="137"/>
      <c r="CXB15" s="137"/>
      <c r="CXC15" s="137"/>
      <c r="CXD15" s="137"/>
      <c r="CXE15" s="137"/>
      <c r="CXF15" s="137"/>
      <c r="CXG15" s="137"/>
      <c r="CXH15" s="137"/>
      <c r="CXI15" s="137"/>
      <c r="CXJ15" s="137"/>
      <c r="CXK15" s="137"/>
      <c r="CXL15" s="137"/>
      <c r="CXM15" s="137"/>
      <c r="CXN15" s="137"/>
      <c r="CXO15" s="137"/>
      <c r="CXP15" s="137"/>
      <c r="CXQ15" s="137"/>
      <c r="CXR15" s="137"/>
      <c r="CXS15" s="137"/>
      <c r="CXT15" s="137"/>
      <c r="CXU15" s="137"/>
      <c r="CXV15" s="137"/>
      <c r="CXW15" s="137"/>
      <c r="CXX15" s="137"/>
      <c r="CXY15" s="137"/>
      <c r="CXZ15" s="137"/>
      <c r="CYA15" s="137"/>
      <c r="CYB15" s="137"/>
      <c r="CYC15" s="137"/>
      <c r="CYD15" s="137"/>
      <c r="CYE15" s="137"/>
      <c r="CYF15" s="137"/>
      <c r="CYG15" s="137"/>
      <c r="CYH15" s="137"/>
      <c r="CYI15" s="137"/>
      <c r="CYJ15" s="137"/>
      <c r="CYK15" s="137"/>
      <c r="CYL15" s="137"/>
      <c r="CYM15" s="137"/>
      <c r="CYN15" s="137"/>
      <c r="CYO15" s="137"/>
      <c r="CYP15" s="137"/>
      <c r="CYQ15" s="137"/>
      <c r="CYR15" s="137"/>
      <c r="CYS15" s="137"/>
      <c r="CYT15" s="137"/>
      <c r="CYU15" s="137"/>
      <c r="CYV15" s="137"/>
      <c r="CYW15" s="137"/>
      <c r="CYX15" s="137"/>
      <c r="CYY15" s="137"/>
      <c r="CYZ15" s="137"/>
      <c r="CZA15" s="137"/>
      <c r="CZB15" s="137"/>
      <c r="CZC15" s="137"/>
      <c r="CZD15" s="137"/>
      <c r="CZE15" s="137"/>
      <c r="CZF15" s="137"/>
      <c r="CZG15" s="137"/>
      <c r="CZH15" s="137"/>
      <c r="CZI15" s="137"/>
      <c r="CZJ15" s="137"/>
      <c r="CZK15" s="137"/>
      <c r="CZL15" s="137"/>
      <c r="CZM15" s="137"/>
      <c r="CZN15" s="137"/>
      <c r="CZO15" s="137"/>
      <c r="CZP15" s="137"/>
      <c r="CZQ15" s="137"/>
      <c r="CZR15" s="137"/>
      <c r="CZS15" s="137"/>
      <c r="CZT15" s="137"/>
      <c r="CZU15" s="137"/>
      <c r="CZV15" s="137"/>
      <c r="CZW15" s="137"/>
      <c r="CZX15" s="137"/>
      <c r="CZY15" s="137"/>
      <c r="CZZ15" s="137"/>
      <c r="DAA15" s="137"/>
      <c r="DAB15" s="137"/>
      <c r="DAC15" s="137"/>
      <c r="DAD15" s="137"/>
      <c r="DAE15" s="137"/>
      <c r="DAF15" s="137"/>
      <c r="DAG15" s="137"/>
      <c r="DAH15" s="137"/>
      <c r="DAI15" s="137"/>
      <c r="DAJ15" s="137"/>
      <c r="DAK15" s="137"/>
      <c r="DAL15" s="137"/>
      <c r="DAM15" s="137"/>
      <c r="DAN15" s="137"/>
      <c r="DAO15" s="137"/>
      <c r="DAP15" s="137"/>
      <c r="DAQ15" s="137"/>
      <c r="DAR15" s="137"/>
      <c r="DAS15" s="137"/>
      <c r="DAT15" s="137"/>
      <c r="DAU15" s="137"/>
      <c r="DAV15" s="137"/>
      <c r="DAW15" s="137"/>
      <c r="DAX15" s="137"/>
      <c r="DAY15" s="137"/>
      <c r="DAZ15" s="137"/>
      <c r="DBA15" s="137"/>
      <c r="DBB15" s="137"/>
      <c r="DBC15" s="137"/>
      <c r="DBD15" s="137"/>
      <c r="DBE15" s="137"/>
      <c r="DBF15" s="137"/>
      <c r="DBG15" s="137"/>
      <c r="DBH15" s="137"/>
      <c r="DBI15" s="137"/>
      <c r="DBJ15" s="137"/>
      <c r="DBK15" s="137"/>
      <c r="DBL15" s="137"/>
      <c r="DBM15" s="137"/>
      <c r="DBN15" s="137"/>
      <c r="DBO15" s="137"/>
      <c r="DBP15" s="137"/>
      <c r="DBQ15" s="137"/>
      <c r="DBR15" s="137"/>
      <c r="DBS15" s="137"/>
      <c r="DBT15" s="137"/>
      <c r="DBU15" s="137"/>
      <c r="DBV15" s="137"/>
      <c r="DBW15" s="137"/>
      <c r="DBX15" s="137"/>
      <c r="DBY15" s="137"/>
      <c r="DBZ15" s="137"/>
      <c r="DCA15" s="137"/>
      <c r="DCB15" s="137"/>
      <c r="DCC15" s="137"/>
      <c r="DCD15" s="137"/>
      <c r="DCE15" s="137"/>
      <c r="DCF15" s="137"/>
      <c r="DCG15" s="137"/>
      <c r="DCH15" s="137"/>
      <c r="DCI15" s="137"/>
      <c r="DCJ15" s="137"/>
      <c r="DCK15" s="137"/>
      <c r="DCL15" s="137"/>
      <c r="DCM15" s="137"/>
      <c r="DCN15" s="137"/>
      <c r="DCO15" s="137"/>
      <c r="DCP15" s="137"/>
      <c r="DCQ15" s="137"/>
      <c r="DCR15" s="137"/>
      <c r="DCS15" s="137"/>
      <c r="DCT15" s="137"/>
      <c r="DCU15" s="137"/>
      <c r="DCV15" s="137"/>
      <c r="DCW15" s="137"/>
      <c r="DCX15" s="137"/>
      <c r="DCY15" s="137"/>
      <c r="DCZ15" s="137"/>
      <c r="DDA15" s="137"/>
      <c r="DDB15" s="137"/>
      <c r="DDC15" s="137"/>
      <c r="DDD15" s="137"/>
      <c r="DDE15" s="137"/>
      <c r="DDF15" s="137"/>
      <c r="DDG15" s="137"/>
      <c r="DDH15" s="137"/>
      <c r="DDI15" s="137"/>
      <c r="DDJ15" s="137"/>
      <c r="DDK15" s="137"/>
      <c r="DDL15" s="137"/>
      <c r="DDM15" s="137"/>
      <c r="DDN15" s="137"/>
      <c r="DDO15" s="137"/>
      <c r="DDP15" s="137"/>
      <c r="DDQ15" s="137"/>
      <c r="DDR15" s="137"/>
      <c r="DDS15" s="137"/>
      <c r="DDT15" s="137"/>
      <c r="DDU15" s="137"/>
      <c r="DDV15" s="137"/>
      <c r="DDW15" s="137"/>
      <c r="DDX15" s="137"/>
      <c r="DDY15" s="137"/>
      <c r="DDZ15" s="137"/>
      <c r="DEA15" s="137"/>
      <c r="DEB15" s="137"/>
      <c r="DEC15" s="137"/>
      <c r="DED15" s="137"/>
      <c r="DEE15" s="137"/>
      <c r="DEF15" s="137"/>
      <c r="DEG15" s="137"/>
      <c r="DEH15" s="137"/>
      <c r="DEI15" s="137"/>
      <c r="DEJ15" s="137"/>
      <c r="DEK15" s="137"/>
      <c r="DEL15" s="137"/>
      <c r="DEM15" s="137"/>
      <c r="DEN15" s="137"/>
      <c r="DEO15" s="137"/>
      <c r="DEP15" s="137"/>
      <c r="DEQ15" s="137"/>
      <c r="DER15" s="137"/>
      <c r="DES15" s="137"/>
      <c r="DET15" s="137"/>
      <c r="DEU15" s="137"/>
      <c r="DEV15" s="137"/>
      <c r="DEW15" s="137"/>
      <c r="DEX15" s="137"/>
      <c r="DEY15" s="137"/>
      <c r="DEZ15" s="137"/>
      <c r="DFA15" s="137"/>
      <c r="DFB15" s="137"/>
      <c r="DFC15" s="137"/>
      <c r="DFD15" s="137"/>
      <c r="DFE15" s="137"/>
      <c r="DFF15" s="137"/>
      <c r="DFG15" s="137"/>
      <c r="DFH15" s="137"/>
      <c r="DFI15" s="137"/>
      <c r="DFJ15" s="137"/>
      <c r="DFK15" s="137"/>
      <c r="DFL15" s="137"/>
      <c r="DFM15" s="137"/>
      <c r="DFN15" s="137"/>
      <c r="DFO15" s="137"/>
      <c r="DFP15" s="137"/>
      <c r="DFQ15" s="137"/>
      <c r="DFR15" s="137"/>
      <c r="DFS15" s="137"/>
      <c r="DFT15" s="137"/>
      <c r="DFU15" s="137"/>
      <c r="DFV15" s="137"/>
      <c r="DFW15" s="137"/>
      <c r="DFX15" s="137"/>
      <c r="DFY15" s="137"/>
      <c r="DFZ15" s="137"/>
      <c r="DGA15" s="137"/>
      <c r="DGB15" s="137"/>
      <c r="DGC15" s="137"/>
      <c r="DGD15" s="137"/>
      <c r="DGE15" s="137"/>
      <c r="DGF15" s="137"/>
      <c r="DGG15" s="137"/>
      <c r="DGH15" s="137"/>
      <c r="DGI15" s="137"/>
      <c r="DGJ15" s="137"/>
      <c r="DGK15" s="137"/>
      <c r="DGL15" s="137"/>
      <c r="DGM15" s="137"/>
      <c r="DGN15" s="137"/>
      <c r="DGO15" s="137"/>
      <c r="DGP15" s="137"/>
      <c r="DGQ15" s="137"/>
      <c r="DGR15" s="137"/>
      <c r="DGS15" s="137"/>
      <c r="DGT15" s="137"/>
      <c r="DGU15" s="137"/>
      <c r="DGV15" s="137"/>
      <c r="DGW15" s="137"/>
      <c r="DGX15" s="137"/>
      <c r="DGY15" s="137"/>
      <c r="DGZ15" s="137"/>
      <c r="DHA15" s="137"/>
      <c r="DHB15" s="137"/>
      <c r="DHC15" s="137"/>
      <c r="DHD15" s="137"/>
      <c r="DHE15" s="137"/>
      <c r="DHF15" s="137"/>
      <c r="DHG15" s="137"/>
      <c r="DHH15" s="137"/>
      <c r="DHI15" s="137"/>
      <c r="DHJ15" s="137"/>
      <c r="DHK15" s="137"/>
      <c r="DHL15" s="137"/>
      <c r="DHM15" s="137"/>
      <c r="DHN15" s="137"/>
      <c r="DHO15" s="137"/>
      <c r="DHP15" s="137"/>
      <c r="DHQ15" s="137"/>
      <c r="DHR15" s="137"/>
      <c r="DHS15" s="137"/>
      <c r="DHT15" s="137"/>
      <c r="DHU15" s="137"/>
      <c r="DHV15" s="137"/>
      <c r="DHW15" s="137"/>
      <c r="DHX15" s="137"/>
      <c r="DHY15" s="137"/>
      <c r="DHZ15" s="137"/>
      <c r="DIA15" s="137"/>
      <c r="DIB15" s="137"/>
      <c r="DIC15" s="137"/>
      <c r="DID15" s="137"/>
      <c r="DIE15" s="137"/>
      <c r="DIF15" s="137"/>
      <c r="DIG15" s="137"/>
      <c r="DIH15" s="137"/>
      <c r="DII15" s="137"/>
      <c r="DIJ15" s="137"/>
      <c r="DIK15" s="137"/>
      <c r="DIL15" s="137"/>
      <c r="DIM15" s="137"/>
      <c r="DIN15" s="137"/>
      <c r="DIO15" s="137"/>
      <c r="DIP15" s="137"/>
      <c r="DIQ15" s="137"/>
      <c r="DIR15" s="137"/>
      <c r="DIS15" s="137"/>
      <c r="DIT15" s="137"/>
      <c r="DIU15" s="137"/>
      <c r="DIV15" s="137"/>
      <c r="DIW15" s="137"/>
      <c r="DIX15" s="137"/>
      <c r="DIY15" s="137"/>
      <c r="DIZ15" s="137"/>
      <c r="DJA15" s="137"/>
      <c r="DJB15" s="137"/>
      <c r="DJC15" s="137"/>
      <c r="DJD15" s="137"/>
      <c r="DJE15" s="137"/>
      <c r="DJF15" s="137"/>
      <c r="DJG15" s="137"/>
      <c r="DJH15" s="137"/>
      <c r="DJI15" s="137"/>
      <c r="DJJ15" s="137"/>
      <c r="DJK15" s="137"/>
      <c r="DJL15" s="137"/>
      <c r="DJM15" s="137"/>
      <c r="DJN15" s="137"/>
      <c r="DJO15" s="137"/>
      <c r="DJP15" s="137"/>
      <c r="DJQ15" s="137"/>
      <c r="DJR15" s="137"/>
      <c r="DJS15" s="137"/>
      <c r="DJT15" s="137"/>
      <c r="DJU15" s="137"/>
      <c r="DJV15" s="137"/>
      <c r="DJW15" s="137"/>
      <c r="DJX15" s="137"/>
      <c r="DJY15" s="137"/>
      <c r="DJZ15" s="137"/>
      <c r="DKA15" s="137"/>
      <c r="DKB15" s="137"/>
      <c r="DKC15" s="137"/>
      <c r="DKD15" s="137"/>
      <c r="DKE15" s="137"/>
      <c r="DKF15" s="137"/>
      <c r="DKG15" s="137"/>
      <c r="DKH15" s="137"/>
      <c r="DKI15" s="137"/>
      <c r="DKJ15" s="137"/>
      <c r="DKK15" s="137"/>
      <c r="DKL15" s="137"/>
      <c r="DKM15" s="137"/>
      <c r="DKN15" s="137"/>
      <c r="DKO15" s="137"/>
      <c r="DKP15" s="137"/>
      <c r="DKQ15" s="137"/>
      <c r="DKR15" s="137"/>
      <c r="DKS15" s="137"/>
      <c r="DKT15" s="137"/>
      <c r="DKU15" s="137"/>
      <c r="DKV15" s="137"/>
      <c r="DKW15" s="137"/>
      <c r="DKX15" s="137"/>
      <c r="DKY15" s="137"/>
      <c r="DKZ15" s="137"/>
      <c r="DLA15" s="137"/>
      <c r="DLB15" s="137"/>
      <c r="DLC15" s="137"/>
      <c r="DLD15" s="137"/>
      <c r="DLE15" s="137"/>
      <c r="DLF15" s="137"/>
      <c r="DLG15" s="137"/>
      <c r="DLH15" s="137"/>
      <c r="DLI15" s="137"/>
      <c r="DLJ15" s="137"/>
      <c r="DLK15" s="137"/>
      <c r="DLL15" s="137"/>
      <c r="DLM15" s="137"/>
      <c r="DLN15" s="137"/>
      <c r="DLO15" s="137"/>
      <c r="DLP15" s="137"/>
      <c r="DLQ15" s="137"/>
      <c r="DLR15" s="137"/>
      <c r="DLS15" s="137"/>
      <c r="DLT15" s="137"/>
      <c r="DLU15" s="137"/>
      <c r="DLV15" s="137"/>
      <c r="DLW15" s="137"/>
      <c r="DLX15" s="137"/>
      <c r="DLY15" s="137"/>
      <c r="DLZ15" s="137"/>
      <c r="DMA15" s="137"/>
      <c r="DMB15" s="137"/>
      <c r="DMC15" s="137"/>
      <c r="DMD15" s="137"/>
      <c r="DME15" s="137"/>
      <c r="DMF15" s="137"/>
      <c r="DMG15" s="137"/>
      <c r="DMH15" s="137"/>
      <c r="DMI15" s="137"/>
      <c r="DMJ15" s="137"/>
      <c r="DMK15" s="137"/>
      <c r="DML15" s="137"/>
      <c r="DMM15" s="137"/>
      <c r="DMN15" s="137"/>
      <c r="DMO15" s="137"/>
      <c r="DMP15" s="137"/>
      <c r="DMQ15" s="137"/>
      <c r="DMR15" s="137"/>
      <c r="DMS15" s="137"/>
      <c r="DMT15" s="137"/>
      <c r="DMU15" s="137"/>
      <c r="DMV15" s="137"/>
      <c r="DMW15" s="137"/>
      <c r="DMX15" s="137"/>
      <c r="DMY15" s="137"/>
      <c r="DMZ15" s="137"/>
      <c r="DNA15" s="137"/>
      <c r="DNB15" s="137"/>
      <c r="DNC15" s="137"/>
      <c r="DND15" s="137"/>
      <c r="DNE15" s="137"/>
      <c r="DNF15" s="137"/>
      <c r="DNG15" s="137"/>
      <c r="DNH15" s="137"/>
      <c r="DNI15" s="137"/>
      <c r="DNJ15" s="137"/>
      <c r="DNK15" s="137"/>
      <c r="DNL15" s="137"/>
      <c r="DNM15" s="137"/>
      <c r="DNN15" s="137"/>
      <c r="DNO15" s="137"/>
      <c r="DNP15" s="137"/>
      <c r="DNQ15" s="137"/>
      <c r="DNR15" s="137"/>
      <c r="DNS15" s="137"/>
      <c r="DNT15" s="137"/>
      <c r="DNU15" s="137"/>
      <c r="DNV15" s="137"/>
      <c r="DNW15" s="137"/>
      <c r="DNX15" s="137"/>
      <c r="DNY15" s="137"/>
      <c r="DNZ15" s="137"/>
      <c r="DOA15" s="137"/>
      <c r="DOB15" s="137"/>
      <c r="DOC15" s="137"/>
      <c r="DOD15" s="137"/>
      <c r="DOE15" s="137"/>
      <c r="DOF15" s="137"/>
      <c r="DOG15" s="137"/>
      <c r="DOH15" s="137"/>
      <c r="DOI15" s="137"/>
      <c r="DOJ15" s="137"/>
      <c r="DOK15" s="137"/>
      <c r="DOL15" s="137"/>
      <c r="DOM15" s="137"/>
      <c r="DON15" s="137"/>
      <c r="DOO15" s="137"/>
      <c r="DOP15" s="137"/>
      <c r="DOQ15" s="137"/>
      <c r="DOR15" s="137"/>
      <c r="DOS15" s="137"/>
      <c r="DOT15" s="137"/>
      <c r="DOU15" s="137"/>
      <c r="DOV15" s="137"/>
      <c r="DOW15" s="137"/>
      <c r="DOX15" s="137"/>
      <c r="DOY15" s="137"/>
      <c r="DOZ15" s="137"/>
      <c r="DPA15" s="137"/>
      <c r="DPB15" s="137"/>
      <c r="DPC15" s="137"/>
      <c r="DPD15" s="137"/>
      <c r="DPE15" s="137"/>
      <c r="DPF15" s="137"/>
      <c r="DPG15" s="137"/>
      <c r="DPH15" s="137"/>
      <c r="DPI15" s="137"/>
      <c r="DPJ15" s="137"/>
      <c r="DPK15" s="137"/>
      <c r="DPL15" s="137"/>
      <c r="DPM15" s="137"/>
      <c r="DPN15" s="137"/>
      <c r="DPO15" s="137"/>
      <c r="DPP15" s="137"/>
      <c r="DPQ15" s="137"/>
      <c r="DPR15" s="137"/>
      <c r="DPS15" s="137"/>
      <c r="DPT15" s="137"/>
      <c r="DPU15" s="137"/>
      <c r="DPV15" s="137"/>
      <c r="DPW15" s="137"/>
      <c r="DPX15" s="137"/>
      <c r="DPY15" s="137"/>
      <c r="DPZ15" s="137"/>
      <c r="DQA15" s="137"/>
      <c r="DQB15" s="137"/>
      <c r="DQC15" s="137"/>
      <c r="DQD15" s="137"/>
      <c r="DQE15" s="137"/>
      <c r="DQF15" s="137"/>
      <c r="DQG15" s="137"/>
      <c r="DQH15" s="137"/>
      <c r="DQI15" s="137"/>
      <c r="DQJ15" s="137"/>
      <c r="DQK15" s="137"/>
      <c r="DQL15" s="137"/>
      <c r="DQM15" s="137"/>
      <c r="DQN15" s="137"/>
      <c r="DQO15" s="137"/>
      <c r="DQP15" s="137"/>
      <c r="DQQ15" s="137"/>
      <c r="DQR15" s="137"/>
      <c r="DQS15" s="137"/>
      <c r="DQT15" s="137"/>
      <c r="DQU15" s="137"/>
      <c r="DQV15" s="137"/>
      <c r="DQW15" s="137"/>
      <c r="DQX15" s="137"/>
      <c r="DQY15" s="137"/>
      <c r="DQZ15" s="137"/>
      <c r="DRA15" s="137"/>
      <c r="DRB15" s="137"/>
      <c r="DRC15" s="137"/>
      <c r="DRD15" s="137"/>
      <c r="DRE15" s="137"/>
      <c r="DRF15" s="137"/>
      <c r="DRG15" s="137"/>
      <c r="DRH15" s="137"/>
      <c r="DRI15" s="137"/>
      <c r="DRJ15" s="137"/>
      <c r="DRK15" s="137"/>
      <c r="DRL15" s="137"/>
      <c r="DRM15" s="137"/>
      <c r="DRN15" s="137"/>
      <c r="DRO15" s="137"/>
      <c r="DRP15" s="137"/>
      <c r="DRQ15" s="137"/>
      <c r="DRR15" s="137"/>
      <c r="DRS15" s="137"/>
      <c r="DRT15" s="137"/>
      <c r="DRU15" s="137"/>
      <c r="DRV15" s="137"/>
      <c r="DRW15" s="137"/>
      <c r="DRX15" s="137"/>
      <c r="DRY15" s="137"/>
      <c r="DRZ15" s="137"/>
      <c r="DSA15" s="137"/>
      <c r="DSB15" s="137"/>
      <c r="DSC15" s="137"/>
      <c r="DSD15" s="137"/>
      <c r="DSE15" s="137"/>
      <c r="DSF15" s="137"/>
      <c r="DSG15" s="137"/>
      <c r="DSH15" s="137"/>
      <c r="DSI15" s="137"/>
      <c r="DSJ15" s="137"/>
      <c r="DSK15" s="137"/>
      <c r="DSL15" s="137"/>
      <c r="DSM15" s="137"/>
      <c r="DSN15" s="137"/>
      <c r="DSO15" s="137"/>
      <c r="DSP15" s="137"/>
      <c r="DSQ15" s="137"/>
      <c r="DSR15" s="137"/>
      <c r="DSS15" s="137"/>
      <c r="DST15" s="137"/>
      <c r="DSU15" s="137"/>
      <c r="DSV15" s="137"/>
      <c r="DSW15" s="137"/>
      <c r="DSX15" s="137"/>
      <c r="DSY15" s="137"/>
      <c r="DSZ15" s="137"/>
      <c r="DTA15" s="137"/>
      <c r="DTB15" s="137"/>
      <c r="DTC15" s="137"/>
      <c r="DTD15" s="137"/>
      <c r="DTE15" s="137"/>
      <c r="DTF15" s="137"/>
      <c r="DTG15" s="137"/>
      <c r="DTH15" s="137"/>
      <c r="DTI15" s="137"/>
      <c r="DTJ15" s="137"/>
      <c r="DTK15" s="137"/>
      <c r="DTL15" s="137"/>
      <c r="DTM15" s="137"/>
      <c r="DTN15" s="137"/>
      <c r="DTO15" s="137"/>
      <c r="DTP15" s="137"/>
      <c r="DTQ15" s="137"/>
      <c r="DTR15" s="137"/>
      <c r="DTS15" s="137"/>
      <c r="DTT15" s="137"/>
      <c r="DTU15" s="137"/>
      <c r="DTV15" s="137"/>
      <c r="DTW15" s="137"/>
      <c r="DTX15" s="137"/>
      <c r="DTY15" s="137"/>
      <c r="DTZ15" s="137"/>
      <c r="DUA15" s="137"/>
      <c r="DUB15" s="137"/>
      <c r="DUC15" s="137"/>
      <c r="DUD15" s="137"/>
      <c r="DUE15" s="137"/>
      <c r="DUF15" s="137"/>
      <c r="DUG15" s="137"/>
      <c r="DUH15" s="137"/>
      <c r="DUI15" s="137"/>
      <c r="DUJ15" s="137"/>
      <c r="DUK15" s="137"/>
      <c r="DUL15" s="137"/>
      <c r="DUM15" s="137"/>
      <c r="DUN15" s="137"/>
      <c r="DUO15" s="137"/>
      <c r="DUP15" s="137"/>
      <c r="DUQ15" s="137"/>
      <c r="DUR15" s="137"/>
      <c r="DUS15" s="137"/>
      <c r="DUT15" s="137"/>
      <c r="DUU15" s="137"/>
      <c r="DUV15" s="137"/>
      <c r="DUW15" s="137"/>
      <c r="DUX15" s="137"/>
      <c r="DUY15" s="137"/>
      <c r="DUZ15" s="137"/>
      <c r="DVA15" s="137"/>
      <c r="DVB15" s="137"/>
      <c r="DVC15" s="137"/>
      <c r="DVD15" s="137"/>
      <c r="DVE15" s="137"/>
      <c r="DVF15" s="137"/>
      <c r="DVG15" s="137"/>
      <c r="DVH15" s="137"/>
      <c r="DVI15" s="137"/>
      <c r="DVJ15" s="137"/>
      <c r="DVK15" s="137"/>
      <c r="DVL15" s="137"/>
      <c r="DVM15" s="137"/>
      <c r="DVN15" s="137"/>
      <c r="DVO15" s="137"/>
      <c r="DVP15" s="137"/>
      <c r="DVQ15" s="137"/>
      <c r="DVR15" s="137"/>
      <c r="DVS15" s="137"/>
      <c r="DVT15" s="137"/>
      <c r="DVU15" s="137"/>
      <c r="DVV15" s="137"/>
      <c r="DVW15" s="137"/>
      <c r="DVX15" s="137"/>
      <c r="DVY15" s="137"/>
      <c r="DVZ15" s="137"/>
      <c r="DWA15" s="137"/>
      <c r="DWB15" s="137"/>
      <c r="DWC15" s="137"/>
      <c r="DWD15" s="137"/>
      <c r="DWE15" s="137"/>
      <c r="DWF15" s="137"/>
      <c r="DWG15" s="137"/>
      <c r="DWH15" s="137"/>
      <c r="DWI15" s="137"/>
      <c r="DWJ15" s="137"/>
      <c r="DWK15" s="137"/>
      <c r="DWL15" s="137"/>
      <c r="DWM15" s="137"/>
      <c r="DWN15" s="137"/>
      <c r="DWO15" s="137"/>
      <c r="DWP15" s="137"/>
      <c r="DWQ15" s="137"/>
      <c r="DWR15" s="137"/>
      <c r="DWS15" s="137"/>
      <c r="DWT15" s="137"/>
      <c r="DWU15" s="137"/>
      <c r="DWV15" s="137"/>
      <c r="DWW15" s="137"/>
      <c r="DWX15" s="137"/>
      <c r="DWY15" s="137"/>
      <c r="DWZ15" s="137"/>
      <c r="DXA15" s="137"/>
      <c r="DXB15" s="137"/>
      <c r="DXC15" s="137"/>
      <c r="DXD15" s="137"/>
      <c r="DXE15" s="137"/>
      <c r="DXF15" s="137"/>
      <c r="DXG15" s="137"/>
      <c r="DXH15" s="137"/>
      <c r="DXI15" s="137"/>
      <c r="DXJ15" s="137"/>
      <c r="DXK15" s="137"/>
      <c r="DXL15" s="137"/>
      <c r="DXM15" s="137"/>
      <c r="DXN15" s="137"/>
      <c r="DXO15" s="137"/>
      <c r="DXP15" s="137"/>
      <c r="DXQ15" s="137"/>
      <c r="DXR15" s="137"/>
      <c r="DXS15" s="137"/>
      <c r="DXT15" s="137"/>
      <c r="DXU15" s="137"/>
      <c r="DXV15" s="137"/>
      <c r="DXW15" s="137"/>
      <c r="DXX15" s="137"/>
      <c r="DXY15" s="137"/>
      <c r="DXZ15" s="137"/>
      <c r="DYA15" s="137"/>
      <c r="DYB15" s="137"/>
      <c r="DYC15" s="137"/>
      <c r="DYD15" s="137"/>
      <c r="DYE15" s="137"/>
      <c r="DYF15" s="137"/>
      <c r="DYG15" s="137"/>
      <c r="DYH15" s="137"/>
      <c r="DYI15" s="137"/>
      <c r="DYJ15" s="137"/>
      <c r="DYK15" s="137"/>
      <c r="DYL15" s="137"/>
      <c r="DYM15" s="137"/>
      <c r="DYN15" s="137"/>
      <c r="DYO15" s="137"/>
      <c r="DYP15" s="137"/>
      <c r="DYQ15" s="137"/>
      <c r="DYR15" s="137"/>
      <c r="DYS15" s="137"/>
      <c r="DYT15" s="137"/>
      <c r="DYU15" s="137"/>
      <c r="DYV15" s="137"/>
      <c r="DYW15" s="137"/>
      <c r="DYX15" s="137"/>
      <c r="DYY15" s="137"/>
      <c r="DYZ15" s="137"/>
      <c r="DZA15" s="137"/>
      <c r="DZB15" s="137"/>
      <c r="DZC15" s="137"/>
      <c r="DZD15" s="137"/>
      <c r="DZE15" s="137"/>
      <c r="DZF15" s="137"/>
      <c r="DZG15" s="137"/>
      <c r="DZH15" s="137"/>
      <c r="DZI15" s="137"/>
      <c r="DZJ15" s="137"/>
      <c r="DZK15" s="137"/>
      <c r="DZL15" s="137"/>
      <c r="DZM15" s="137"/>
      <c r="DZN15" s="137"/>
      <c r="DZO15" s="137"/>
      <c r="DZP15" s="137"/>
      <c r="DZQ15" s="137"/>
      <c r="DZR15" s="137"/>
      <c r="DZS15" s="137"/>
      <c r="DZT15" s="137"/>
      <c r="DZU15" s="137"/>
      <c r="DZV15" s="137"/>
      <c r="DZW15" s="137"/>
      <c r="DZX15" s="137"/>
      <c r="DZY15" s="137"/>
      <c r="DZZ15" s="137"/>
      <c r="EAA15" s="137"/>
      <c r="EAB15" s="137"/>
      <c r="EAC15" s="137"/>
      <c r="EAD15" s="137"/>
      <c r="EAE15" s="137"/>
      <c r="EAF15" s="137"/>
      <c r="EAG15" s="137"/>
      <c r="EAH15" s="137"/>
      <c r="EAI15" s="137"/>
      <c r="EAJ15" s="137"/>
      <c r="EAK15" s="137"/>
      <c r="EAL15" s="137"/>
      <c r="EAM15" s="137"/>
      <c r="EAN15" s="137"/>
      <c r="EAO15" s="137"/>
      <c r="EAP15" s="137"/>
      <c r="EAQ15" s="137"/>
      <c r="EAR15" s="137"/>
      <c r="EAS15" s="137"/>
      <c r="EAT15" s="137"/>
      <c r="EAU15" s="137"/>
      <c r="EAV15" s="137"/>
      <c r="EAW15" s="137"/>
      <c r="EAX15" s="137"/>
      <c r="EAY15" s="137"/>
      <c r="EAZ15" s="137"/>
      <c r="EBA15" s="137"/>
      <c r="EBB15" s="137"/>
      <c r="EBC15" s="137"/>
      <c r="EBD15" s="137"/>
      <c r="EBE15" s="137"/>
      <c r="EBF15" s="137"/>
      <c r="EBG15" s="137"/>
      <c r="EBH15" s="137"/>
      <c r="EBI15" s="137"/>
      <c r="EBJ15" s="137"/>
      <c r="EBK15" s="137"/>
      <c r="EBL15" s="137"/>
      <c r="EBM15" s="137"/>
      <c r="EBN15" s="137"/>
      <c r="EBO15" s="137"/>
      <c r="EBP15" s="137"/>
      <c r="EBQ15" s="137"/>
      <c r="EBR15" s="137"/>
      <c r="EBS15" s="137"/>
      <c r="EBT15" s="137"/>
      <c r="EBU15" s="137"/>
      <c r="EBV15" s="137"/>
      <c r="EBW15" s="137"/>
      <c r="EBX15" s="137"/>
      <c r="EBY15" s="137"/>
      <c r="EBZ15" s="137"/>
      <c r="ECA15" s="137"/>
      <c r="ECB15" s="137"/>
      <c r="ECC15" s="137"/>
      <c r="ECD15" s="137"/>
      <c r="ECE15" s="137"/>
      <c r="ECF15" s="137"/>
      <c r="ECG15" s="137"/>
      <c r="ECH15" s="137"/>
      <c r="ECI15" s="137"/>
      <c r="ECJ15" s="137"/>
      <c r="ECK15" s="137"/>
      <c r="ECL15" s="137"/>
      <c r="ECM15" s="137"/>
      <c r="ECN15" s="137"/>
      <c r="ECO15" s="137"/>
      <c r="ECP15" s="137"/>
      <c r="ECQ15" s="137"/>
      <c r="ECR15" s="137"/>
      <c r="ECS15" s="137"/>
      <c r="ECT15" s="137"/>
      <c r="ECU15" s="137"/>
      <c r="ECV15" s="137"/>
      <c r="ECW15" s="137"/>
      <c r="ECX15" s="137"/>
      <c r="ECY15" s="137"/>
      <c r="ECZ15" s="137"/>
      <c r="EDA15" s="137"/>
      <c r="EDB15" s="137"/>
      <c r="EDC15" s="137"/>
      <c r="EDD15" s="137"/>
      <c r="EDE15" s="137"/>
      <c r="EDF15" s="137"/>
      <c r="EDG15" s="137"/>
      <c r="EDH15" s="137"/>
      <c r="EDI15" s="137"/>
      <c r="EDJ15" s="137"/>
      <c r="EDK15" s="137"/>
      <c r="EDL15" s="137"/>
      <c r="EDM15" s="137"/>
      <c r="EDN15" s="137"/>
      <c r="EDO15" s="137"/>
      <c r="EDP15" s="137"/>
      <c r="EDQ15" s="137"/>
      <c r="EDR15" s="137"/>
      <c r="EDS15" s="137"/>
      <c r="EDT15" s="137"/>
      <c r="EDU15" s="137"/>
      <c r="EDV15" s="137"/>
      <c r="EDW15" s="137"/>
      <c r="EDX15" s="137"/>
      <c r="EDY15" s="137"/>
      <c r="EDZ15" s="137"/>
      <c r="EEA15" s="137"/>
      <c r="EEB15" s="137"/>
      <c r="EEC15" s="137"/>
      <c r="EED15" s="137"/>
      <c r="EEE15" s="137"/>
      <c r="EEF15" s="137"/>
      <c r="EEG15" s="137"/>
      <c r="EEH15" s="137"/>
      <c r="EEI15" s="137"/>
      <c r="EEJ15" s="137"/>
      <c r="EEK15" s="137"/>
      <c r="EEL15" s="137"/>
      <c r="EEM15" s="137"/>
      <c r="EEN15" s="137"/>
      <c r="EEO15" s="137"/>
      <c r="EEP15" s="137"/>
      <c r="EEQ15" s="137"/>
      <c r="EER15" s="137"/>
      <c r="EES15" s="137"/>
      <c r="EET15" s="137"/>
      <c r="EEU15" s="137"/>
      <c r="EEV15" s="137"/>
      <c r="EEW15" s="137"/>
      <c r="EEX15" s="137"/>
      <c r="EEY15" s="137"/>
      <c r="EEZ15" s="137"/>
      <c r="EFA15" s="137"/>
      <c r="EFB15" s="137"/>
      <c r="EFC15" s="137"/>
      <c r="EFD15" s="137"/>
      <c r="EFE15" s="137"/>
      <c r="EFF15" s="137"/>
      <c r="EFG15" s="137"/>
      <c r="EFH15" s="137"/>
      <c r="EFI15" s="137"/>
      <c r="EFJ15" s="137"/>
      <c r="EFK15" s="137"/>
      <c r="EFL15" s="137"/>
      <c r="EFM15" s="137"/>
      <c r="EFN15" s="137"/>
      <c r="EFO15" s="137"/>
      <c r="EFP15" s="137"/>
      <c r="EFQ15" s="137"/>
      <c r="EFR15" s="137"/>
      <c r="EFS15" s="137"/>
      <c r="EFT15" s="137"/>
      <c r="EFU15" s="137"/>
      <c r="EFV15" s="137"/>
      <c r="EFW15" s="137"/>
      <c r="EFX15" s="137"/>
      <c r="EFY15" s="137"/>
      <c r="EFZ15" s="137"/>
      <c r="EGA15" s="137"/>
      <c r="EGB15" s="137"/>
      <c r="EGC15" s="137"/>
      <c r="EGD15" s="137"/>
      <c r="EGE15" s="137"/>
      <c r="EGF15" s="137"/>
      <c r="EGG15" s="137"/>
      <c r="EGH15" s="137"/>
      <c r="EGI15" s="137"/>
      <c r="EGJ15" s="137"/>
      <c r="EGK15" s="137"/>
      <c r="EGL15" s="137"/>
      <c r="EGM15" s="137"/>
      <c r="EGN15" s="137"/>
      <c r="EGO15" s="137"/>
      <c r="EGP15" s="137"/>
      <c r="EGQ15" s="137"/>
      <c r="EGR15" s="137"/>
      <c r="EGS15" s="137"/>
      <c r="EGT15" s="137"/>
      <c r="EGU15" s="137"/>
      <c r="EGV15" s="137"/>
      <c r="EGW15" s="137"/>
      <c r="EGX15" s="137"/>
      <c r="EGY15" s="137"/>
      <c r="EGZ15" s="137"/>
      <c r="EHA15" s="137"/>
      <c r="EHB15" s="137"/>
      <c r="EHC15" s="137"/>
      <c r="EHD15" s="137"/>
      <c r="EHE15" s="137"/>
      <c r="EHF15" s="137"/>
      <c r="EHG15" s="137"/>
      <c r="EHH15" s="137"/>
      <c r="EHI15" s="137"/>
      <c r="EHJ15" s="137"/>
      <c r="EHK15" s="137"/>
      <c r="EHL15" s="137"/>
      <c r="EHM15" s="137"/>
      <c r="EHN15" s="137"/>
      <c r="EHO15" s="137"/>
      <c r="EHP15" s="137"/>
      <c r="EHQ15" s="137"/>
      <c r="EHR15" s="137"/>
      <c r="EHS15" s="137"/>
      <c r="EHT15" s="137"/>
      <c r="EHU15" s="137"/>
      <c r="EHV15" s="137"/>
      <c r="EHW15" s="137"/>
      <c r="EHX15" s="137"/>
      <c r="EHY15" s="137"/>
      <c r="EHZ15" s="137"/>
      <c r="EIA15" s="137"/>
      <c r="EIB15" s="137"/>
      <c r="EIC15" s="137"/>
      <c r="EID15" s="137"/>
      <c r="EIE15" s="137"/>
      <c r="EIF15" s="137"/>
      <c r="EIG15" s="137"/>
      <c r="EIH15" s="137"/>
      <c r="EII15" s="137"/>
      <c r="EIJ15" s="137"/>
      <c r="EIK15" s="137"/>
      <c r="EIL15" s="137"/>
      <c r="EIM15" s="137"/>
      <c r="EIN15" s="137"/>
      <c r="EIO15" s="137"/>
      <c r="EIP15" s="137"/>
      <c r="EIQ15" s="137"/>
      <c r="EIR15" s="137"/>
      <c r="EIS15" s="137"/>
      <c r="EIT15" s="137"/>
      <c r="EIU15" s="137"/>
      <c r="EIV15" s="137"/>
      <c r="EIW15" s="137"/>
      <c r="EIX15" s="137"/>
      <c r="EIY15" s="137"/>
      <c r="EIZ15" s="137"/>
      <c r="EJA15" s="137"/>
      <c r="EJB15" s="137"/>
      <c r="EJC15" s="137"/>
      <c r="EJD15" s="137"/>
      <c r="EJE15" s="137"/>
      <c r="EJF15" s="137"/>
      <c r="EJG15" s="137"/>
      <c r="EJH15" s="137"/>
      <c r="EJI15" s="137"/>
      <c r="EJJ15" s="137"/>
      <c r="EJK15" s="137"/>
      <c r="EJL15" s="137"/>
      <c r="EJM15" s="137"/>
      <c r="EJN15" s="137"/>
      <c r="EJO15" s="137"/>
      <c r="EJP15" s="137"/>
      <c r="EJQ15" s="137"/>
      <c r="EJR15" s="137"/>
      <c r="EJS15" s="137"/>
      <c r="EJT15" s="137"/>
      <c r="EJU15" s="137"/>
      <c r="EJV15" s="137"/>
      <c r="EJW15" s="137"/>
      <c r="EJX15" s="137"/>
      <c r="EJY15" s="137"/>
      <c r="EJZ15" s="137"/>
      <c r="EKA15" s="137"/>
      <c r="EKB15" s="137"/>
      <c r="EKC15" s="137"/>
      <c r="EKD15" s="137"/>
      <c r="EKE15" s="137"/>
      <c r="EKF15" s="137"/>
      <c r="EKG15" s="137"/>
      <c r="EKH15" s="137"/>
      <c r="EKI15" s="137"/>
      <c r="EKJ15" s="137"/>
      <c r="EKK15" s="137"/>
      <c r="EKL15" s="137"/>
      <c r="EKM15" s="137"/>
      <c r="EKN15" s="137"/>
      <c r="EKO15" s="137"/>
      <c r="EKP15" s="137"/>
      <c r="EKQ15" s="137"/>
      <c r="EKR15" s="137"/>
      <c r="EKS15" s="137"/>
      <c r="EKT15" s="137"/>
      <c r="EKU15" s="137"/>
      <c r="EKV15" s="137"/>
      <c r="EKW15" s="137"/>
      <c r="EKX15" s="137"/>
      <c r="EKY15" s="137"/>
      <c r="EKZ15" s="137"/>
      <c r="ELA15" s="137"/>
      <c r="ELB15" s="137"/>
      <c r="ELC15" s="137"/>
      <c r="ELD15" s="137"/>
      <c r="ELE15" s="137"/>
      <c r="ELF15" s="137"/>
      <c r="ELG15" s="137"/>
      <c r="ELH15" s="137"/>
      <c r="ELI15" s="137"/>
      <c r="ELJ15" s="137"/>
      <c r="ELK15" s="137"/>
      <c r="ELL15" s="137"/>
      <c r="ELM15" s="137"/>
      <c r="ELN15" s="137"/>
      <c r="ELO15" s="137"/>
      <c r="ELP15" s="137"/>
      <c r="ELQ15" s="137"/>
      <c r="ELR15" s="137"/>
      <c r="ELS15" s="137"/>
      <c r="ELT15" s="137"/>
      <c r="ELU15" s="137"/>
      <c r="ELV15" s="137"/>
      <c r="ELW15" s="137"/>
      <c r="ELX15" s="137"/>
      <c r="ELY15" s="137"/>
      <c r="ELZ15" s="137"/>
      <c r="EMA15" s="137"/>
      <c r="EMB15" s="137"/>
      <c r="EMC15" s="137"/>
      <c r="EMD15" s="137"/>
      <c r="EME15" s="137"/>
      <c r="EMF15" s="137"/>
      <c r="EMG15" s="137"/>
      <c r="EMH15" s="137"/>
      <c r="EMI15" s="137"/>
      <c r="EMJ15" s="137"/>
      <c r="EMK15" s="137"/>
      <c r="EML15" s="137"/>
      <c r="EMM15" s="137"/>
      <c r="EMN15" s="137"/>
      <c r="EMO15" s="137"/>
      <c r="EMP15" s="137"/>
      <c r="EMQ15" s="137"/>
      <c r="EMR15" s="137"/>
      <c r="EMS15" s="137"/>
      <c r="EMT15" s="137"/>
      <c r="EMU15" s="137"/>
      <c r="EMV15" s="137"/>
      <c r="EMW15" s="137"/>
      <c r="EMX15" s="137"/>
      <c r="EMY15" s="137"/>
      <c r="EMZ15" s="137"/>
      <c r="ENA15" s="137"/>
      <c r="ENB15" s="137"/>
      <c r="ENC15" s="137"/>
      <c r="END15" s="137"/>
      <c r="ENE15" s="137"/>
      <c r="ENF15" s="137"/>
      <c r="ENG15" s="137"/>
      <c r="ENH15" s="137"/>
      <c r="ENI15" s="137"/>
      <c r="ENJ15" s="137"/>
      <c r="ENK15" s="137"/>
      <c r="ENL15" s="137"/>
      <c r="ENM15" s="137"/>
      <c r="ENN15" s="137"/>
      <c r="ENO15" s="137"/>
      <c r="ENP15" s="137"/>
      <c r="ENQ15" s="137"/>
      <c r="ENR15" s="137"/>
      <c r="ENS15" s="137"/>
      <c r="ENT15" s="137"/>
      <c r="ENU15" s="137"/>
      <c r="ENV15" s="137"/>
      <c r="ENW15" s="137"/>
      <c r="ENX15" s="137"/>
      <c r="ENY15" s="137"/>
      <c r="ENZ15" s="137"/>
      <c r="EOA15" s="137"/>
      <c r="EOB15" s="137"/>
      <c r="EOC15" s="137"/>
      <c r="EOD15" s="137"/>
      <c r="EOE15" s="137"/>
      <c r="EOF15" s="137"/>
      <c r="EOG15" s="137"/>
      <c r="EOH15" s="137"/>
      <c r="EOI15" s="137"/>
      <c r="EOJ15" s="137"/>
      <c r="EOK15" s="137"/>
      <c r="EOL15" s="137"/>
      <c r="EOM15" s="137"/>
      <c r="EON15" s="137"/>
      <c r="EOO15" s="137"/>
      <c r="EOP15" s="137"/>
      <c r="EOQ15" s="137"/>
      <c r="EOR15" s="137"/>
      <c r="EOS15" s="137"/>
      <c r="EOT15" s="137"/>
      <c r="EOU15" s="137"/>
      <c r="EOV15" s="137"/>
      <c r="EOW15" s="137"/>
      <c r="EOX15" s="137"/>
      <c r="EOY15" s="137"/>
      <c r="EOZ15" s="137"/>
      <c r="EPA15" s="137"/>
      <c r="EPB15" s="137"/>
      <c r="EPC15" s="137"/>
      <c r="EPD15" s="137"/>
      <c r="EPE15" s="137"/>
      <c r="EPF15" s="137"/>
      <c r="EPG15" s="137"/>
      <c r="EPH15" s="137"/>
      <c r="EPI15" s="137"/>
      <c r="EPJ15" s="137"/>
      <c r="EPK15" s="137"/>
      <c r="EPL15" s="137"/>
      <c r="EPM15" s="137"/>
      <c r="EPN15" s="137"/>
      <c r="EPO15" s="137"/>
      <c r="EPP15" s="137"/>
      <c r="EPQ15" s="137"/>
      <c r="EPR15" s="137"/>
      <c r="EPS15" s="137"/>
      <c r="EPT15" s="137"/>
      <c r="EPU15" s="137"/>
      <c r="EPV15" s="137"/>
      <c r="EPW15" s="137"/>
      <c r="EPX15" s="137"/>
      <c r="EPY15" s="137"/>
      <c r="EPZ15" s="137"/>
      <c r="EQA15" s="137"/>
      <c r="EQB15" s="137"/>
      <c r="EQC15" s="137"/>
      <c r="EQD15" s="137"/>
      <c r="EQE15" s="137"/>
      <c r="EQF15" s="137"/>
      <c r="EQG15" s="137"/>
      <c r="EQH15" s="137"/>
      <c r="EQI15" s="137"/>
      <c r="EQJ15" s="137"/>
      <c r="EQK15" s="137"/>
      <c r="EQL15" s="137"/>
      <c r="EQM15" s="137"/>
      <c r="EQN15" s="137"/>
      <c r="EQO15" s="137"/>
      <c r="EQP15" s="137"/>
      <c r="EQQ15" s="137"/>
      <c r="EQR15" s="137"/>
      <c r="EQS15" s="137"/>
      <c r="EQT15" s="137"/>
      <c r="EQU15" s="137"/>
      <c r="EQV15" s="137"/>
      <c r="EQW15" s="137"/>
      <c r="EQX15" s="137"/>
      <c r="EQY15" s="137"/>
      <c r="EQZ15" s="137"/>
      <c r="ERA15" s="137"/>
      <c r="ERB15" s="137"/>
      <c r="ERC15" s="137"/>
      <c r="ERD15" s="137"/>
      <c r="ERE15" s="137"/>
      <c r="ERF15" s="137"/>
      <c r="ERG15" s="137"/>
      <c r="ERH15" s="137"/>
      <c r="ERI15" s="137"/>
      <c r="ERJ15" s="137"/>
      <c r="ERK15" s="137"/>
      <c r="ERL15" s="137"/>
      <c r="ERM15" s="137"/>
      <c r="ERN15" s="137"/>
      <c r="ERO15" s="137"/>
      <c r="ERP15" s="137"/>
      <c r="ERQ15" s="137"/>
      <c r="ERR15" s="137"/>
      <c r="ERS15" s="137"/>
      <c r="ERT15" s="137"/>
      <c r="ERU15" s="137"/>
      <c r="ERV15" s="137"/>
      <c r="ERW15" s="137"/>
      <c r="ERX15" s="137"/>
      <c r="ERY15" s="137"/>
      <c r="ERZ15" s="137"/>
      <c r="ESA15" s="137"/>
      <c r="ESB15" s="137"/>
      <c r="ESC15" s="137"/>
      <c r="ESD15" s="137"/>
      <c r="ESE15" s="137"/>
      <c r="ESF15" s="137"/>
      <c r="ESG15" s="137"/>
      <c r="ESH15" s="137"/>
      <c r="ESI15" s="137"/>
      <c r="ESJ15" s="137"/>
      <c r="ESK15" s="137"/>
      <c r="ESL15" s="137"/>
      <c r="ESM15" s="137"/>
      <c r="ESN15" s="137"/>
      <c r="ESO15" s="137"/>
      <c r="ESP15" s="137"/>
      <c r="ESQ15" s="137"/>
      <c r="ESR15" s="137"/>
      <c r="ESS15" s="137"/>
      <c r="EST15" s="137"/>
      <c r="ESU15" s="137"/>
      <c r="ESV15" s="137"/>
      <c r="ESW15" s="137"/>
      <c r="ESX15" s="137"/>
      <c r="ESY15" s="137"/>
      <c r="ESZ15" s="137"/>
      <c r="ETA15" s="137"/>
      <c r="ETB15" s="137"/>
      <c r="ETC15" s="137"/>
      <c r="ETD15" s="137"/>
      <c r="ETE15" s="137"/>
      <c r="ETF15" s="137"/>
      <c r="ETG15" s="137"/>
      <c r="ETH15" s="137"/>
      <c r="ETI15" s="137"/>
      <c r="ETJ15" s="137"/>
      <c r="ETK15" s="137"/>
      <c r="ETL15" s="137"/>
      <c r="ETM15" s="137"/>
      <c r="ETN15" s="137"/>
      <c r="ETO15" s="137"/>
      <c r="ETP15" s="137"/>
      <c r="ETQ15" s="137"/>
      <c r="ETR15" s="137"/>
      <c r="ETS15" s="137"/>
      <c r="ETT15" s="137"/>
      <c r="ETU15" s="137"/>
      <c r="ETV15" s="137"/>
      <c r="ETW15" s="137"/>
      <c r="ETX15" s="137"/>
      <c r="ETY15" s="137"/>
      <c r="ETZ15" s="137"/>
      <c r="EUA15" s="137"/>
      <c r="EUB15" s="137"/>
      <c r="EUC15" s="137"/>
      <c r="EUD15" s="137"/>
      <c r="EUE15" s="137"/>
      <c r="EUF15" s="137"/>
      <c r="EUG15" s="137"/>
      <c r="EUH15" s="137"/>
      <c r="EUI15" s="137"/>
      <c r="EUJ15" s="137"/>
      <c r="EUK15" s="137"/>
      <c r="EUL15" s="137"/>
      <c r="EUM15" s="137"/>
      <c r="EUN15" s="137"/>
      <c r="EUO15" s="137"/>
      <c r="EUP15" s="137"/>
      <c r="EUQ15" s="137"/>
      <c r="EUR15" s="137"/>
      <c r="EUS15" s="137"/>
      <c r="EUT15" s="137"/>
      <c r="EUU15" s="137"/>
      <c r="EUV15" s="137"/>
      <c r="EUW15" s="137"/>
      <c r="EUX15" s="137"/>
      <c r="EUY15" s="137"/>
      <c r="EUZ15" s="137"/>
      <c r="EVA15" s="137"/>
      <c r="EVB15" s="137"/>
      <c r="EVC15" s="137"/>
      <c r="EVD15" s="137"/>
      <c r="EVE15" s="137"/>
      <c r="EVF15" s="137"/>
      <c r="EVG15" s="137"/>
      <c r="EVH15" s="137"/>
      <c r="EVI15" s="137"/>
      <c r="EVJ15" s="137"/>
      <c r="EVK15" s="137"/>
      <c r="EVL15" s="137"/>
      <c r="EVM15" s="137"/>
      <c r="EVN15" s="137"/>
      <c r="EVO15" s="137"/>
      <c r="EVP15" s="137"/>
      <c r="EVQ15" s="137"/>
      <c r="EVR15" s="137"/>
      <c r="EVS15" s="137"/>
      <c r="EVT15" s="137"/>
      <c r="EVU15" s="137"/>
      <c r="EVV15" s="137"/>
      <c r="EVW15" s="137"/>
      <c r="EVX15" s="137"/>
      <c r="EVY15" s="137"/>
      <c r="EVZ15" s="137"/>
      <c r="EWA15" s="137"/>
      <c r="EWB15" s="137"/>
      <c r="EWC15" s="137"/>
      <c r="EWD15" s="137"/>
      <c r="EWE15" s="137"/>
      <c r="EWF15" s="137"/>
      <c r="EWG15" s="137"/>
      <c r="EWH15" s="137"/>
      <c r="EWI15" s="137"/>
      <c r="EWJ15" s="137"/>
      <c r="EWK15" s="137"/>
      <c r="EWL15" s="137"/>
      <c r="EWM15" s="137"/>
      <c r="EWN15" s="137"/>
      <c r="EWO15" s="137"/>
      <c r="EWP15" s="137"/>
      <c r="EWQ15" s="137"/>
      <c r="EWR15" s="137"/>
      <c r="EWS15" s="137"/>
      <c r="EWT15" s="137"/>
      <c r="EWU15" s="137"/>
      <c r="EWV15" s="137"/>
      <c r="EWW15" s="137"/>
      <c r="EWX15" s="137"/>
      <c r="EWY15" s="137"/>
      <c r="EWZ15" s="137"/>
      <c r="EXA15" s="137"/>
      <c r="EXB15" s="137"/>
      <c r="EXC15" s="137"/>
      <c r="EXD15" s="137"/>
      <c r="EXE15" s="137"/>
      <c r="EXF15" s="137"/>
      <c r="EXG15" s="137"/>
      <c r="EXH15" s="137"/>
      <c r="EXI15" s="137"/>
      <c r="EXJ15" s="137"/>
      <c r="EXK15" s="137"/>
      <c r="EXL15" s="137"/>
      <c r="EXM15" s="137"/>
      <c r="EXN15" s="137"/>
      <c r="EXO15" s="137"/>
      <c r="EXP15" s="137"/>
      <c r="EXQ15" s="137"/>
      <c r="EXR15" s="137"/>
      <c r="EXS15" s="137"/>
      <c r="EXT15" s="137"/>
      <c r="EXU15" s="137"/>
      <c r="EXV15" s="137"/>
      <c r="EXW15" s="137"/>
      <c r="EXX15" s="137"/>
      <c r="EXY15" s="137"/>
      <c r="EXZ15" s="137"/>
      <c r="EYA15" s="137"/>
      <c r="EYB15" s="137"/>
      <c r="EYC15" s="137"/>
      <c r="EYD15" s="137"/>
      <c r="EYE15" s="137"/>
      <c r="EYF15" s="137"/>
      <c r="EYG15" s="137"/>
      <c r="EYH15" s="137"/>
      <c r="EYI15" s="137"/>
      <c r="EYJ15" s="137"/>
      <c r="EYK15" s="137"/>
      <c r="EYL15" s="137"/>
      <c r="EYM15" s="137"/>
      <c r="EYN15" s="137"/>
      <c r="EYO15" s="137"/>
      <c r="EYP15" s="137"/>
      <c r="EYQ15" s="137"/>
      <c r="EYR15" s="137"/>
      <c r="EYS15" s="137"/>
      <c r="EYT15" s="137"/>
      <c r="EYU15" s="137"/>
      <c r="EYV15" s="137"/>
      <c r="EYW15" s="137"/>
      <c r="EYX15" s="137"/>
      <c r="EYY15" s="137"/>
      <c r="EYZ15" s="137"/>
      <c r="EZA15" s="137"/>
      <c r="EZB15" s="137"/>
      <c r="EZC15" s="137"/>
      <c r="EZD15" s="137"/>
      <c r="EZE15" s="137"/>
      <c r="EZF15" s="137"/>
      <c r="EZG15" s="137"/>
      <c r="EZH15" s="137"/>
      <c r="EZI15" s="137"/>
      <c r="EZJ15" s="137"/>
      <c r="EZK15" s="137"/>
      <c r="EZL15" s="137"/>
      <c r="EZM15" s="137"/>
      <c r="EZN15" s="137"/>
      <c r="EZO15" s="137"/>
      <c r="EZP15" s="137"/>
      <c r="EZQ15" s="137"/>
      <c r="EZR15" s="137"/>
      <c r="EZS15" s="137"/>
      <c r="EZT15" s="137"/>
      <c r="EZU15" s="137"/>
      <c r="EZV15" s="137"/>
      <c r="EZW15" s="137"/>
      <c r="EZX15" s="137"/>
      <c r="EZY15" s="137"/>
      <c r="EZZ15" s="137"/>
      <c r="FAA15" s="137"/>
      <c r="FAB15" s="137"/>
      <c r="FAC15" s="137"/>
      <c r="FAD15" s="137"/>
      <c r="FAE15" s="137"/>
      <c r="FAF15" s="137"/>
      <c r="FAG15" s="137"/>
      <c r="FAH15" s="137"/>
      <c r="FAI15" s="137"/>
      <c r="FAJ15" s="137"/>
      <c r="FAK15" s="137"/>
      <c r="FAL15" s="137"/>
      <c r="FAM15" s="137"/>
      <c r="FAN15" s="137"/>
      <c r="FAO15" s="137"/>
      <c r="FAP15" s="137"/>
      <c r="FAQ15" s="137"/>
      <c r="FAR15" s="137"/>
      <c r="FAS15" s="137"/>
      <c r="FAT15" s="137"/>
      <c r="FAU15" s="137"/>
      <c r="FAV15" s="137"/>
      <c r="FAW15" s="137"/>
      <c r="FAX15" s="137"/>
      <c r="FAY15" s="137"/>
      <c r="FAZ15" s="137"/>
      <c r="FBA15" s="137"/>
      <c r="FBB15" s="137"/>
      <c r="FBC15" s="137"/>
      <c r="FBD15" s="137"/>
      <c r="FBE15" s="137"/>
      <c r="FBF15" s="137"/>
      <c r="FBG15" s="137"/>
      <c r="FBH15" s="137"/>
      <c r="FBI15" s="137"/>
      <c r="FBJ15" s="137"/>
      <c r="FBK15" s="137"/>
      <c r="FBL15" s="137"/>
      <c r="FBM15" s="137"/>
      <c r="FBN15" s="137"/>
      <c r="FBO15" s="137"/>
      <c r="FBP15" s="137"/>
      <c r="FBQ15" s="137"/>
      <c r="FBR15" s="137"/>
      <c r="FBS15" s="137"/>
      <c r="FBT15" s="137"/>
      <c r="FBU15" s="137"/>
      <c r="FBV15" s="137"/>
      <c r="FBW15" s="137"/>
      <c r="FBX15" s="137"/>
      <c r="FBY15" s="137"/>
      <c r="FBZ15" s="137"/>
      <c r="FCA15" s="137"/>
      <c r="FCB15" s="137"/>
      <c r="FCC15" s="137"/>
      <c r="FCD15" s="137"/>
      <c r="FCE15" s="137"/>
      <c r="FCF15" s="137"/>
      <c r="FCG15" s="137"/>
      <c r="FCH15" s="137"/>
      <c r="FCI15" s="137"/>
      <c r="FCJ15" s="137"/>
      <c r="FCK15" s="137"/>
      <c r="FCL15" s="137"/>
      <c r="FCM15" s="137"/>
      <c r="FCN15" s="137"/>
      <c r="FCO15" s="137"/>
      <c r="FCP15" s="137"/>
      <c r="FCQ15" s="137"/>
      <c r="FCR15" s="137"/>
      <c r="FCS15" s="137"/>
      <c r="FCT15" s="137"/>
      <c r="FCU15" s="137"/>
      <c r="FCV15" s="137"/>
      <c r="FCW15" s="137"/>
      <c r="FCX15" s="137"/>
      <c r="FCY15" s="137"/>
      <c r="FCZ15" s="137"/>
      <c r="FDA15" s="137"/>
      <c r="FDB15" s="137"/>
      <c r="FDC15" s="137"/>
      <c r="FDD15" s="137"/>
      <c r="FDE15" s="137"/>
      <c r="FDF15" s="137"/>
      <c r="FDG15" s="137"/>
      <c r="FDH15" s="137"/>
      <c r="FDI15" s="137"/>
      <c r="FDJ15" s="137"/>
      <c r="FDK15" s="137"/>
      <c r="FDL15" s="137"/>
      <c r="FDM15" s="137"/>
      <c r="FDN15" s="137"/>
      <c r="FDO15" s="137"/>
      <c r="FDP15" s="137"/>
      <c r="FDQ15" s="137"/>
      <c r="FDR15" s="137"/>
      <c r="FDS15" s="137"/>
      <c r="FDT15" s="137"/>
      <c r="FDU15" s="137"/>
      <c r="FDV15" s="137"/>
      <c r="FDW15" s="137"/>
      <c r="FDX15" s="137"/>
      <c r="FDY15" s="137"/>
      <c r="FDZ15" s="137"/>
      <c r="FEA15" s="137"/>
      <c r="FEB15" s="137"/>
      <c r="FEC15" s="137"/>
      <c r="FED15" s="137"/>
      <c r="FEE15" s="137"/>
      <c r="FEF15" s="137"/>
      <c r="FEG15" s="137"/>
      <c r="FEH15" s="137"/>
      <c r="FEI15" s="137"/>
      <c r="FEJ15" s="137"/>
      <c r="FEK15" s="137"/>
      <c r="FEL15" s="137"/>
      <c r="FEM15" s="137"/>
      <c r="FEN15" s="137"/>
      <c r="FEO15" s="137"/>
      <c r="FEP15" s="137"/>
      <c r="FEQ15" s="137"/>
      <c r="FER15" s="137"/>
      <c r="FES15" s="137"/>
      <c r="FET15" s="137"/>
      <c r="FEU15" s="137"/>
      <c r="FEV15" s="137"/>
      <c r="FEW15" s="137"/>
      <c r="FEX15" s="137"/>
      <c r="FEY15" s="137"/>
      <c r="FEZ15" s="137"/>
      <c r="FFA15" s="137"/>
      <c r="FFB15" s="137"/>
      <c r="FFC15" s="137"/>
      <c r="FFD15" s="137"/>
      <c r="FFE15" s="137"/>
      <c r="FFF15" s="137"/>
      <c r="FFG15" s="137"/>
      <c r="FFH15" s="137"/>
      <c r="FFI15" s="137"/>
      <c r="FFJ15" s="137"/>
      <c r="FFK15" s="137"/>
      <c r="FFL15" s="137"/>
      <c r="FFM15" s="137"/>
      <c r="FFN15" s="137"/>
      <c r="FFO15" s="137"/>
      <c r="FFP15" s="137"/>
      <c r="FFQ15" s="137"/>
      <c r="FFR15" s="137"/>
      <c r="FFS15" s="137"/>
      <c r="FFT15" s="137"/>
      <c r="FFU15" s="137"/>
      <c r="FFV15" s="137"/>
      <c r="FFW15" s="137"/>
      <c r="FFX15" s="137"/>
      <c r="FFY15" s="137"/>
      <c r="FFZ15" s="137"/>
      <c r="FGA15" s="137"/>
      <c r="FGB15" s="137"/>
      <c r="FGC15" s="137"/>
      <c r="FGD15" s="137"/>
      <c r="FGE15" s="137"/>
      <c r="FGF15" s="137"/>
      <c r="FGG15" s="137"/>
      <c r="FGH15" s="137"/>
      <c r="FGI15" s="137"/>
      <c r="FGJ15" s="137"/>
      <c r="FGK15" s="137"/>
      <c r="FGL15" s="137"/>
      <c r="FGM15" s="137"/>
      <c r="FGN15" s="137"/>
      <c r="FGO15" s="137"/>
      <c r="FGP15" s="137"/>
      <c r="FGQ15" s="137"/>
      <c r="FGR15" s="137"/>
      <c r="FGS15" s="137"/>
      <c r="FGT15" s="137"/>
      <c r="FGU15" s="137"/>
      <c r="FGV15" s="137"/>
      <c r="FGW15" s="137"/>
      <c r="FGX15" s="137"/>
      <c r="FGY15" s="137"/>
      <c r="FGZ15" s="137"/>
      <c r="FHA15" s="137"/>
      <c r="FHB15" s="137"/>
      <c r="FHC15" s="137"/>
      <c r="FHD15" s="137"/>
      <c r="FHE15" s="137"/>
      <c r="FHF15" s="137"/>
      <c r="FHG15" s="137"/>
      <c r="FHH15" s="137"/>
      <c r="FHI15" s="137"/>
      <c r="FHJ15" s="137"/>
      <c r="FHK15" s="137"/>
      <c r="FHL15" s="137"/>
      <c r="FHM15" s="137"/>
      <c r="FHN15" s="137"/>
      <c r="FHO15" s="137"/>
      <c r="FHP15" s="137"/>
      <c r="FHQ15" s="137"/>
      <c r="FHR15" s="137"/>
      <c r="FHS15" s="137"/>
      <c r="FHT15" s="137"/>
      <c r="FHU15" s="137"/>
      <c r="FHV15" s="137"/>
      <c r="FHW15" s="137"/>
      <c r="FHX15" s="137"/>
      <c r="FHY15" s="137"/>
      <c r="FHZ15" s="137"/>
      <c r="FIA15" s="137"/>
      <c r="FIB15" s="137"/>
      <c r="FIC15" s="137"/>
      <c r="FID15" s="137"/>
      <c r="FIE15" s="137"/>
      <c r="FIF15" s="137"/>
      <c r="FIG15" s="137"/>
      <c r="FIH15" s="137"/>
      <c r="FII15" s="137"/>
      <c r="FIJ15" s="137"/>
      <c r="FIK15" s="137"/>
      <c r="FIL15" s="137"/>
      <c r="FIM15" s="137"/>
      <c r="FIN15" s="137"/>
      <c r="FIO15" s="137"/>
      <c r="FIP15" s="137"/>
      <c r="FIQ15" s="137"/>
      <c r="FIR15" s="137"/>
      <c r="FIS15" s="137"/>
      <c r="FIT15" s="137"/>
      <c r="FIU15" s="137"/>
      <c r="FIV15" s="137"/>
      <c r="FIW15" s="137"/>
      <c r="FIX15" s="137"/>
      <c r="FIY15" s="137"/>
      <c r="FIZ15" s="137"/>
      <c r="FJA15" s="137"/>
      <c r="FJB15" s="137"/>
      <c r="FJC15" s="137"/>
      <c r="FJD15" s="137"/>
      <c r="FJE15" s="137"/>
      <c r="FJF15" s="137"/>
      <c r="FJG15" s="137"/>
      <c r="FJH15" s="137"/>
      <c r="FJI15" s="137"/>
      <c r="FJJ15" s="137"/>
      <c r="FJK15" s="137"/>
      <c r="FJL15" s="137"/>
      <c r="FJM15" s="137"/>
      <c r="FJN15" s="137"/>
      <c r="FJO15" s="137"/>
      <c r="FJP15" s="137"/>
      <c r="FJQ15" s="137"/>
      <c r="FJR15" s="137"/>
      <c r="FJS15" s="137"/>
      <c r="FJT15" s="137"/>
      <c r="FJU15" s="137"/>
      <c r="FJV15" s="137"/>
      <c r="FJW15" s="137"/>
      <c r="FJX15" s="137"/>
      <c r="FJY15" s="137"/>
      <c r="FJZ15" s="137"/>
      <c r="FKA15" s="137"/>
      <c r="FKB15" s="137"/>
      <c r="FKC15" s="137"/>
      <c r="FKD15" s="137"/>
      <c r="FKE15" s="137"/>
      <c r="FKF15" s="137"/>
      <c r="FKG15" s="137"/>
      <c r="FKH15" s="137"/>
      <c r="FKI15" s="137"/>
      <c r="FKJ15" s="137"/>
      <c r="FKK15" s="137"/>
      <c r="FKL15" s="137"/>
      <c r="FKM15" s="137"/>
      <c r="FKN15" s="137"/>
      <c r="FKO15" s="137"/>
      <c r="FKP15" s="137"/>
      <c r="FKQ15" s="137"/>
      <c r="FKR15" s="137"/>
      <c r="FKS15" s="137"/>
      <c r="FKT15" s="137"/>
      <c r="FKU15" s="137"/>
      <c r="FKV15" s="137"/>
      <c r="FKW15" s="137"/>
      <c r="FKX15" s="137"/>
      <c r="FKY15" s="137"/>
      <c r="FKZ15" s="137"/>
      <c r="FLA15" s="137"/>
      <c r="FLB15" s="137"/>
      <c r="FLC15" s="137"/>
      <c r="FLD15" s="137"/>
      <c r="FLE15" s="137"/>
      <c r="FLF15" s="137"/>
      <c r="FLG15" s="137"/>
      <c r="FLH15" s="137"/>
      <c r="FLI15" s="137"/>
      <c r="FLJ15" s="137"/>
      <c r="FLK15" s="137"/>
      <c r="FLL15" s="137"/>
      <c r="FLM15" s="137"/>
      <c r="FLN15" s="137"/>
      <c r="FLO15" s="137"/>
      <c r="FLP15" s="137"/>
      <c r="FLQ15" s="137"/>
      <c r="FLR15" s="137"/>
      <c r="FLS15" s="137"/>
      <c r="FLT15" s="137"/>
      <c r="FLU15" s="137"/>
      <c r="FLV15" s="137"/>
      <c r="FLW15" s="137"/>
      <c r="FLX15" s="137"/>
      <c r="FLY15" s="137"/>
      <c r="FLZ15" s="137"/>
      <c r="FMA15" s="137"/>
      <c r="FMB15" s="137"/>
      <c r="FMC15" s="137"/>
      <c r="FMD15" s="137"/>
      <c r="FME15" s="137"/>
      <c r="FMF15" s="137"/>
      <c r="FMG15" s="137"/>
      <c r="FMH15" s="137"/>
      <c r="FMI15" s="137"/>
      <c r="FMJ15" s="137"/>
      <c r="FMK15" s="137"/>
      <c r="FML15" s="137"/>
      <c r="FMM15" s="137"/>
      <c r="FMN15" s="137"/>
      <c r="FMO15" s="137"/>
      <c r="FMP15" s="137"/>
      <c r="FMQ15" s="137"/>
      <c r="FMR15" s="137"/>
      <c r="FMS15" s="137"/>
      <c r="FMT15" s="137"/>
      <c r="FMU15" s="137"/>
      <c r="FMV15" s="137"/>
      <c r="FMW15" s="137"/>
      <c r="FMX15" s="137"/>
      <c r="FMY15" s="137"/>
      <c r="FMZ15" s="137"/>
      <c r="FNA15" s="137"/>
      <c r="FNB15" s="137"/>
      <c r="FNC15" s="137"/>
      <c r="FND15" s="137"/>
      <c r="FNE15" s="137"/>
      <c r="FNF15" s="137"/>
      <c r="FNG15" s="137"/>
      <c r="FNH15" s="137"/>
      <c r="FNI15" s="137"/>
      <c r="FNJ15" s="137"/>
      <c r="FNK15" s="137"/>
      <c r="FNL15" s="137"/>
      <c r="FNM15" s="137"/>
      <c r="FNN15" s="137"/>
      <c r="FNO15" s="137"/>
      <c r="FNP15" s="137"/>
      <c r="FNQ15" s="137"/>
      <c r="FNR15" s="137"/>
      <c r="FNS15" s="137"/>
      <c r="FNT15" s="137"/>
      <c r="FNU15" s="137"/>
      <c r="FNV15" s="137"/>
      <c r="FNW15" s="137"/>
      <c r="FNX15" s="137"/>
      <c r="FNY15" s="137"/>
      <c r="FNZ15" s="137"/>
      <c r="FOA15" s="137"/>
      <c r="FOB15" s="137"/>
      <c r="FOC15" s="137"/>
      <c r="FOD15" s="137"/>
      <c r="FOE15" s="137"/>
      <c r="FOF15" s="137"/>
      <c r="FOG15" s="137"/>
      <c r="FOH15" s="137"/>
      <c r="FOI15" s="137"/>
      <c r="FOJ15" s="137"/>
      <c r="FOK15" s="137"/>
      <c r="FOL15" s="137"/>
      <c r="FOM15" s="137"/>
      <c r="FON15" s="137"/>
      <c r="FOO15" s="137"/>
      <c r="FOP15" s="137"/>
      <c r="FOQ15" s="137"/>
      <c r="FOR15" s="137"/>
      <c r="FOS15" s="137"/>
      <c r="FOT15" s="137"/>
      <c r="FOU15" s="137"/>
      <c r="FOV15" s="137"/>
      <c r="FOW15" s="137"/>
      <c r="FOX15" s="137"/>
      <c r="FOY15" s="137"/>
      <c r="FOZ15" s="137"/>
      <c r="FPA15" s="137"/>
      <c r="FPB15" s="137"/>
      <c r="FPC15" s="137"/>
      <c r="FPD15" s="137"/>
      <c r="FPE15" s="137"/>
      <c r="FPF15" s="137"/>
      <c r="FPG15" s="137"/>
      <c r="FPH15" s="137"/>
      <c r="FPI15" s="137"/>
      <c r="FPJ15" s="137"/>
      <c r="FPK15" s="137"/>
      <c r="FPL15" s="137"/>
      <c r="FPM15" s="137"/>
      <c r="FPN15" s="137"/>
      <c r="FPO15" s="137"/>
      <c r="FPP15" s="137"/>
      <c r="FPQ15" s="137"/>
      <c r="FPR15" s="137"/>
      <c r="FPS15" s="137"/>
      <c r="FPT15" s="137"/>
      <c r="FPU15" s="137"/>
      <c r="FPV15" s="137"/>
      <c r="FPW15" s="137"/>
      <c r="FPX15" s="137"/>
      <c r="FPY15" s="137"/>
      <c r="FPZ15" s="137"/>
      <c r="FQA15" s="137"/>
      <c r="FQB15" s="137"/>
      <c r="FQC15" s="137"/>
      <c r="FQD15" s="137"/>
      <c r="FQE15" s="137"/>
      <c r="FQF15" s="137"/>
      <c r="FQG15" s="137"/>
      <c r="FQH15" s="137"/>
      <c r="FQI15" s="137"/>
      <c r="FQJ15" s="137"/>
      <c r="FQK15" s="137"/>
      <c r="FQL15" s="137"/>
      <c r="FQM15" s="137"/>
      <c r="FQN15" s="137"/>
      <c r="FQO15" s="137"/>
      <c r="FQP15" s="137"/>
      <c r="FQQ15" s="137"/>
      <c r="FQR15" s="137"/>
      <c r="FQS15" s="137"/>
      <c r="FQT15" s="137"/>
      <c r="FQU15" s="137"/>
      <c r="FQV15" s="137"/>
      <c r="FQW15" s="137"/>
      <c r="FQX15" s="137"/>
      <c r="FQY15" s="137"/>
      <c r="FQZ15" s="137"/>
      <c r="FRA15" s="137"/>
      <c r="FRB15" s="137"/>
      <c r="FRC15" s="137"/>
      <c r="FRD15" s="137"/>
      <c r="FRE15" s="137"/>
      <c r="FRF15" s="137"/>
      <c r="FRG15" s="137"/>
      <c r="FRH15" s="137"/>
      <c r="FRI15" s="137"/>
      <c r="FRJ15" s="137"/>
      <c r="FRK15" s="137"/>
      <c r="FRL15" s="137"/>
      <c r="FRM15" s="137"/>
      <c r="FRN15" s="137"/>
      <c r="FRO15" s="137"/>
      <c r="FRP15" s="137"/>
      <c r="FRQ15" s="137"/>
      <c r="FRR15" s="137"/>
      <c r="FRS15" s="137"/>
      <c r="FRT15" s="137"/>
      <c r="FRU15" s="137"/>
      <c r="FRV15" s="137"/>
      <c r="FRW15" s="137"/>
      <c r="FRX15" s="137"/>
      <c r="FRY15" s="137"/>
      <c r="FRZ15" s="137"/>
      <c r="FSA15" s="137"/>
      <c r="FSB15" s="137"/>
      <c r="FSC15" s="137"/>
      <c r="FSD15" s="137"/>
      <c r="FSE15" s="137"/>
      <c r="FSF15" s="137"/>
      <c r="FSG15" s="137"/>
      <c r="FSH15" s="137"/>
      <c r="FSI15" s="137"/>
      <c r="FSJ15" s="137"/>
      <c r="FSK15" s="137"/>
      <c r="FSL15" s="137"/>
      <c r="FSM15" s="137"/>
      <c r="FSN15" s="137"/>
      <c r="FSO15" s="137"/>
      <c r="FSP15" s="137"/>
      <c r="FSQ15" s="137"/>
      <c r="FSR15" s="137"/>
      <c r="FSS15" s="137"/>
      <c r="FST15" s="137"/>
      <c r="FSU15" s="137"/>
      <c r="FSV15" s="137"/>
      <c r="FSW15" s="137"/>
      <c r="FSX15" s="137"/>
      <c r="FSY15" s="137"/>
      <c r="FSZ15" s="137"/>
      <c r="FTA15" s="137"/>
      <c r="FTB15" s="137"/>
      <c r="FTC15" s="137"/>
      <c r="FTD15" s="137"/>
      <c r="FTE15" s="137"/>
      <c r="FTF15" s="137"/>
      <c r="FTG15" s="137"/>
      <c r="FTH15" s="137"/>
      <c r="FTI15" s="137"/>
      <c r="FTJ15" s="137"/>
      <c r="FTK15" s="137"/>
      <c r="FTL15" s="137"/>
      <c r="FTM15" s="137"/>
      <c r="FTN15" s="137"/>
      <c r="FTO15" s="137"/>
      <c r="FTP15" s="137"/>
      <c r="FTQ15" s="137"/>
      <c r="FTR15" s="137"/>
      <c r="FTS15" s="137"/>
      <c r="FTT15" s="137"/>
      <c r="FTU15" s="137"/>
      <c r="FTV15" s="137"/>
    </row>
    <row r="16" spans="1:4598" s="370" customFormat="1" ht="20" customHeight="1" thickBot="1" x14ac:dyDescent="0.3">
      <c r="A16" s="137">
        <v>-1.8006368639788426</v>
      </c>
      <c r="B16" s="346"/>
      <c r="C16" s="475" t="s">
        <v>119</v>
      </c>
      <c r="D16" s="490"/>
      <c r="E16" s="143">
        <f>SUM(E7:E14)</f>
        <v>3</v>
      </c>
      <c r="F16" s="347"/>
      <c r="G16" s="182"/>
      <c r="H16" s="340"/>
      <c r="I16" s="491" t="s">
        <v>134</v>
      </c>
      <c r="J16" s="527"/>
      <c r="K16" s="522"/>
      <c r="L16" s="182"/>
      <c r="M16" s="182"/>
      <c r="N16" s="186"/>
      <c r="O16" s="127"/>
      <c r="P16" s="538"/>
      <c r="Q16" s="377"/>
      <c r="R16" s="409" t="s">
        <v>167</v>
      </c>
      <c r="S16" s="48">
        <v>1000</v>
      </c>
      <c r="T16" s="347"/>
      <c r="U16" s="280">
        <v>29.721270496896281</v>
      </c>
      <c r="V16" s="280">
        <v>29.647633944426214</v>
      </c>
      <c r="W16" s="137">
        <v>29.603703071689853</v>
      </c>
      <c r="X16" s="137">
        <v>29.129340666642864</v>
      </c>
      <c r="Y16" s="137">
        <v>30.16411346269798</v>
      </c>
      <c r="Z16" s="137">
        <v>29.597103392956974</v>
      </c>
      <c r="AA16" s="137">
        <v>30.150639493851937</v>
      </c>
      <c r="AB16" s="137">
        <v>29.873165427920018</v>
      </c>
      <c r="AC16" s="137">
        <v>30.594931153180568</v>
      </c>
      <c r="AD16" s="137">
        <v>30.534272910082947</v>
      </c>
      <c r="AE16" s="137">
        <v>30.550928165885775</v>
      </c>
      <c r="AF16" s="137">
        <v>30.540528649886493</v>
      </c>
      <c r="AG16" s="137">
        <v>29.898193296618992</v>
      </c>
      <c r="AH16" s="137">
        <v>29.919291624183543</v>
      </c>
      <c r="AI16" s="137">
        <v>29.941605724384324</v>
      </c>
      <c r="AJ16" s="137">
        <v>30.697794225403747</v>
      </c>
      <c r="AK16" s="137">
        <v>29.142186938267749</v>
      </c>
      <c r="AL16" s="137">
        <v>30.77421595853134</v>
      </c>
      <c r="AM16" s="137">
        <v>29.737753691474914</v>
      </c>
      <c r="AN16" s="137">
        <v>29.942356376950929</v>
      </c>
      <c r="AO16" s="137">
        <v>30.290530073631089</v>
      </c>
      <c r="AP16" s="137">
        <v>29.386170687254037</v>
      </c>
      <c r="AQ16" s="137">
        <v>29.964863784182903</v>
      </c>
      <c r="AR16" s="137">
        <v>30.301255506646328</v>
      </c>
      <c r="AS16" s="137">
        <v>29.910300158829099</v>
      </c>
      <c r="AT16" s="137">
        <v>29.918270706998367</v>
      </c>
      <c r="AU16" s="137">
        <v>29.497668730715251</v>
      </c>
      <c r="AV16" s="137">
        <v>30.874441935856634</v>
      </c>
      <c r="AW16" s="137">
        <v>30.445124942054925</v>
      </c>
      <c r="AX16" s="137">
        <v>29.633622165967925</v>
      </c>
      <c r="AY16" s="137">
        <v>29.034167704268036</v>
      </c>
      <c r="AZ16" s="137">
        <v>30.455448841781525</v>
      </c>
      <c r="BA16" s="137">
        <v>29.757835535155522</v>
      </c>
      <c r="BB16" s="137">
        <v>29.787910599376691</v>
      </c>
      <c r="BC16" s="137">
        <v>30.582657117951463</v>
      </c>
      <c r="BD16" s="137">
        <v>29.252738248146322</v>
      </c>
      <c r="BE16" s="137">
        <v>29.207929736668195</v>
      </c>
      <c r="BF16" s="137">
        <v>30.334279972198853</v>
      </c>
      <c r="BG16" s="137">
        <v>30.137741569884625</v>
      </c>
      <c r="BH16" s="137">
        <v>28.879881117705001</v>
      </c>
      <c r="BI16" s="137">
        <v>29.470404436471494</v>
      </c>
      <c r="BJ16" s="137">
        <v>30.077827510429838</v>
      </c>
      <c r="BK16" s="137">
        <v>30.200570348384598</v>
      </c>
      <c r="BL16" s="137">
        <v>30.819131775153945</v>
      </c>
      <c r="BM16" s="137">
        <v>29.071166329864486</v>
      </c>
      <c r="BN16" s="137">
        <v>29.809961444993522</v>
      </c>
      <c r="BO16" s="137">
        <v>30.001379829563795</v>
      </c>
      <c r="BP16" s="137">
        <v>29.787669632111964</v>
      </c>
      <c r="BQ16" s="137">
        <v>29.815330845281125</v>
      </c>
      <c r="BR16" s="137">
        <v>30.863441906900217</v>
      </c>
      <c r="BS16" s="137">
        <v>28.463866576913524</v>
      </c>
      <c r="BT16" s="137">
        <v>29.591580149298046</v>
      </c>
      <c r="BU16" s="137">
        <v>29.152881015787411</v>
      </c>
      <c r="BV16" s="137">
        <v>29.443194855340799</v>
      </c>
      <c r="BW16" s="137">
        <v>29.474763365785247</v>
      </c>
      <c r="BX16" s="137">
        <v>30.282288753670844</v>
      </c>
      <c r="BY16" s="137">
        <v>29.728574929295803</v>
      </c>
      <c r="BZ16" s="137">
        <v>29.811209840717929</v>
      </c>
      <c r="CA16" s="137">
        <v>29.781961667701303</v>
      </c>
      <c r="CB16" s="137">
        <v>28.820678304831642</v>
      </c>
      <c r="CC16" s="137">
        <v>30.078522872010168</v>
      </c>
      <c r="CD16" s="137">
        <v>28.710382852126003</v>
      </c>
      <c r="CE16" s="137">
        <v>29.086860390998666</v>
      </c>
      <c r="CF16" s="137">
        <v>30.743439536582503</v>
      </c>
      <c r="CG16" s="137">
        <v>29.896704969913653</v>
      </c>
      <c r="CH16" s="137">
        <v>30.567667957971324</v>
      </c>
      <c r="CI16" s="137">
        <v>29.237709390922177</v>
      </c>
      <c r="CJ16" s="137">
        <v>29.360765389536549</v>
      </c>
      <c r="CK16" s="137">
        <v>30.75175873180838</v>
      </c>
      <c r="CL16" s="137">
        <v>30.5066185881923</v>
      </c>
      <c r="CM16" s="137">
        <v>30.035362272088523</v>
      </c>
      <c r="CN16" s="137">
        <v>30.763066509005679</v>
      </c>
      <c r="CO16" s="137">
        <v>29.255752504700059</v>
      </c>
      <c r="CP16" s="137">
        <v>29.434858881657995</v>
      </c>
      <c r="CQ16" s="137">
        <v>30.206918058716973</v>
      </c>
      <c r="CR16" s="137">
        <v>30.015948573438568</v>
      </c>
      <c r="CS16" s="137">
        <v>29.999557037436876</v>
      </c>
      <c r="CT16" s="137">
        <v>29.899722156340413</v>
      </c>
      <c r="CU16" s="137">
        <v>31.297529800801108</v>
      </c>
      <c r="CV16" s="137">
        <v>30.158460075969717</v>
      </c>
      <c r="CW16" s="137">
        <v>30.411038562211317</v>
      </c>
      <c r="CX16" s="137">
        <v>29.725022977606283</v>
      </c>
      <c r="CY16" s="137">
        <v>29.797752110995109</v>
      </c>
      <c r="CZ16" s="137">
        <v>28.943039848099456</v>
      </c>
      <c r="DA16" s="137">
        <v>30.478422202082729</v>
      </c>
      <c r="DB16" s="137">
        <v>30.575222553620996</v>
      </c>
      <c r="DC16" s="137">
        <v>30.613107731105409</v>
      </c>
      <c r="DD16" s="137">
        <v>30.870073527885559</v>
      </c>
      <c r="DE16" s="137">
        <v>30.461111483995538</v>
      </c>
      <c r="DF16" s="137">
        <v>29.467836500385395</v>
      </c>
      <c r="DG16" s="137">
        <v>30.331163193306271</v>
      </c>
      <c r="DH16" s="137">
        <v>30.192353323679679</v>
      </c>
      <c r="DI16" s="137">
        <v>29.387505674279883</v>
      </c>
      <c r="DJ16" s="137">
        <v>30.736144738878462</v>
      </c>
      <c r="DK16" s="137">
        <v>30.019529958736438</v>
      </c>
      <c r="DL16" s="137">
        <v>30.422997970109357</v>
      </c>
      <c r="DM16" s="137">
        <v>30.132403565433076</v>
      </c>
      <c r="DN16" s="137">
        <v>30.259975968898424</v>
      </c>
      <c r="DO16" s="137">
        <v>29.078070960112065</v>
      </c>
      <c r="DP16" s="137">
        <v>29.459952102330298</v>
      </c>
      <c r="DQ16" s="137">
        <v>28.5857455734815</v>
      </c>
      <c r="DR16" s="370">
        <v>30.022612319570158</v>
      </c>
      <c r="DS16" s="370">
        <v>29.844721804255208</v>
      </c>
      <c r="DT16" s="370">
        <v>28.716882541119336</v>
      </c>
      <c r="DU16" s="370">
        <v>30.135928802934163</v>
      </c>
      <c r="DV16" s="370">
        <v>30.266688822201981</v>
      </c>
      <c r="DW16" s="370">
        <v>30.579005487419536</v>
      </c>
      <c r="DX16" s="370">
        <v>30.176933955921946</v>
      </c>
      <c r="DY16" s="370">
        <v>30.424263223734151</v>
      </c>
      <c r="DZ16" s="370">
        <v>30.185594153716234</v>
      </c>
      <c r="EA16" s="370">
        <v>30.798533416979538</v>
      </c>
      <c r="EB16" s="370">
        <v>30.15181806441392</v>
      </c>
      <c r="EC16" s="370">
        <v>29.474997270885812</v>
      </c>
      <c r="ED16" s="370">
        <v>29.253630444004369</v>
      </c>
      <c r="EE16" s="370">
        <v>29.884378337638076</v>
      </c>
      <c r="EF16" s="370">
        <v>30.579406384195217</v>
      </c>
      <c r="EG16" s="370">
        <v>30.532089697594088</v>
      </c>
      <c r="EH16" s="370">
        <v>29.269966243554176</v>
      </c>
      <c r="EI16" s="370">
        <v>29.906604808227605</v>
      </c>
      <c r="EJ16" s="370">
        <v>29.877398984488554</v>
      </c>
      <c r="EK16" s="370">
        <v>30.497552626284886</v>
      </c>
      <c r="EL16" s="370">
        <v>30.699859494546246</v>
      </c>
      <c r="EM16" s="370">
        <v>29.594652035458513</v>
      </c>
      <c r="EN16" s="370">
        <v>30.374242125226907</v>
      </c>
      <c r="EO16" s="370">
        <v>30.103317715482365</v>
      </c>
      <c r="EP16" s="370">
        <v>30.740603130036746</v>
      </c>
      <c r="EQ16" s="370">
        <v>29.857236901632689</v>
      </c>
      <c r="ER16" s="370">
        <v>29.816500732860018</v>
      </c>
      <c r="ES16" s="370">
        <v>30.529920424226884</v>
      </c>
      <c r="ET16" s="370">
        <v>30.738889583473402</v>
      </c>
      <c r="EU16" s="370">
        <v>30.3366753351916</v>
      </c>
      <c r="EV16" s="370">
        <v>29.553947283923538</v>
      </c>
      <c r="EW16" s="370">
        <v>29.909660413414745</v>
      </c>
      <c r="EX16" s="370">
        <v>30.661420117650028</v>
      </c>
      <c r="EY16" s="370">
        <v>29.526796658024644</v>
      </c>
      <c r="EZ16" s="370">
        <v>29.82880018068726</v>
      </c>
      <c r="FA16" s="370">
        <v>30.216129017166139</v>
      </c>
      <c r="FB16" s="370">
        <v>29.018594423217085</v>
      </c>
      <c r="FC16" s="370">
        <v>29.531192129641891</v>
      </c>
      <c r="FD16" s="370">
        <v>29.546569422253413</v>
      </c>
      <c r="FE16" s="370">
        <v>30.58627049555232</v>
      </c>
      <c r="FF16" s="370">
        <v>30.935505844974671</v>
      </c>
      <c r="FG16" s="370">
        <v>29.630155039081128</v>
      </c>
      <c r="FH16" s="370">
        <v>29.767299166342521</v>
      </c>
      <c r="FI16" s="370">
        <v>30.306983408756107</v>
      </c>
      <c r="FJ16" s="370">
        <v>29.623321458923996</v>
      </c>
      <c r="FK16" s="370">
        <v>29.433499712397627</v>
      </c>
      <c r="FL16" s="370">
        <v>30.194950235354206</v>
      </c>
      <c r="FM16" s="370">
        <v>29.384150172954591</v>
      </c>
      <c r="FN16" s="370">
        <v>28.795960036855085</v>
      </c>
      <c r="FO16" s="370">
        <v>31.209406092144938</v>
      </c>
      <c r="FP16" s="370">
        <v>29.43114095309064</v>
      </c>
      <c r="FQ16" s="370">
        <v>29.812550153540215</v>
      </c>
      <c r="FR16" s="370">
        <v>29.911824826907239</v>
      </c>
      <c r="FS16" s="370">
        <v>31.287849224487928</v>
      </c>
      <c r="FT16" s="370">
        <v>29.756082116317263</v>
      </c>
      <c r="FU16" s="370">
        <v>30.513031187139156</v>
      </c>
      <c r="FV16" s="370">
        <v>28.769017460880601</v>
      </c>
      <c r="FW16" s="370">
        <v>30.391133324354421</v>
      </c>
      <c r="FX16" s="370">
        <v>30.421716452954644</v>
      </c>
      <c r="FY16" s="370">
        <v>29.22677005648184</v>
      </c>
      <c r="FZ16" s="370">
        <v>29.979579071279421</v>
      </c>
      <c r="GA16" s="370">
        <v>29.048679155119302</v>
      </c>
      <c r="GB16" s="370">
        <v>29.645161652692078</v>
      </c>
      <c r="GC16" s="370">
        <v>29.475664244373494</v>
      </c>
      <c r="GD16" s="370">
        <v>30.595648893818538</v>
      </c>
      <c r="GE16" s="370">
        <v>31.171808298088393</v>
      </c>
      <c r="GF16" s="370">
        <v>28.736179177969142</v>
      </c>
      <c r="GG16" s="370">
        <v>29.609268318323142</v>
      </c>
      <c r="GH16" s="370">
        <v>29.694502774607983</v>
      </c>
      <c r="GI16" s="370">
        <v>30.498977930549923</v>
      </c>
      <c r="GJ16" s="370">
        <v>29.746663296838765</v>
      </c>
      <c r="GK16" s="370">
        <v>30.359001668953617</v>
      </c>
      <c r="GL16" s="370">
        <v>29.818647025451408</v>
      </c>
      <c r="GM16" s="370">
        <v>29.140779256763224</v>
      </c>
      <c r="GN16" s="370">
        <v>30.638049013554998</v>
      </c>
      <c r="GO16" s="370">
        <v>29.624561132382695</v>
      </c>
      <c r="GP16" s="370">
        <v>30.518795617348367</v>
      </c>
      <c r="GQ16" s="370">
        <v>30.167604041335064</v>
      </c>
      <c r="GR16" s="370">
        <v>29.890148092552312</v>
      </c>
      <c r="GS16" s="370">
        <v>30.528961601171599</v>
      </c>
      <c r="GT16" s="370">
        <v>30.090187505275171</v>
      </c>
      <c r="GU16" s="370">
        <v>29.928969115922104</v>
      </c>
      <c r="GV16" s="370">
        <v>29.441663684261954</v>
      </c>
      <c r="GW16" s="370">
        <v>30.041633619818949</v>
      </c>
      <c r="GX16" s="370">
        <v>30.741975117440454</v>
      </c>
      <c r="GY16" s="370">
        <v>30.801441624824655</v>
      </c>
      <c r="GZ16" s="370">
        <v>29.934205982141595</v>
      </c>
      <c r="HA16" s="370">
        <v>30.630841689478139</v>
      </c>
      <c r="HB16" s="370">
        <v>29.64594804077624</v>
      </c>
      <c r="HC16" s="370">
        <v>30.024868743471163</v>
      </c>
      <c r="HD16" s="370">
        <v>30.739177850480807</v>
      </c>
      <c r="HE16" s="370">
        <v>29.925158207826048</v>
      </c>
      <c r="HF16" s="370">
        <v>29.947008849442355</v>
      </c>
      <c r="HG16" s="370">
        <v>29.197352230264173</v>
      </c>
      <c r="HH16" s="370">
        <v>29.735441602249285</v>
      </c>
      <c r="HI16" s="370">
        <v>29.60674124839321</v>
      </c>
      <c r="HJ16" s="370">
        <v>29.909282110111491</v>
      </c>
      <c r="HK16" s="370">
        <v>30.266205628674413</v>
      </c>
      <c r="HL16" s="370">
        <v>30.771953417212735</v>
      </c>
      <c r="HM16" s="370">
        <v>29.909319470289127</v>
      </c>
      <c r="HN16" s="370">
        <v>29.910148209046913</v>
      </c>
      <c r="HO16" s="370">
        <v>30.09688783394364</v>
      </c>
      <c r="HP16" s="370">
        <v>31.026422819624067</v>
      </c>
      <c r="HQ16" s="370">
        <v>29.89481721279148</v>
      </c>
      <c r="HR16" s="370">
        <v>31.041242807705945</v>
      </c>
      <c r="HS16" s="370">
        <v>29.719786283609178</v>
      </c>
      <c r="HT16" s="370">
        <v>29.271821383178398</v>
      </c>
      <c r="HU16" s="370">
        <v>30.792001504925857</v>
      </c>
      <c r="HV16" s="370">
        <v>30.355351952967176</v>
      </c>
      <c r="HW16" s="370">
        <v>30.388664706685379</v>
      </c>
      <c r="HX16" s="370">
        <v>29.563300121622035</v>
      </c>
      <c r="HY16" s="370">
        <v>30.472626266355491</v>
      </c>
      <c r="HZ16" s="370">
        <v>30.367431151601409</v>
      </c>
      <c r="IA16" s="370">
        <v>30.694093728473874</v>
      </c>
      <c r="IB16" s="370">
        <v>29.89829766263323</v>
      </c>
      <c r="IC16" s="370">
        <v>29.58592679630998</v>
      </c>
      <c r="ID16" s="370">
        <v>29.524954875969168</v>
      </c>
      <c r="IE16" s="370">
        <v>28.800566841082926</v>
      </c>
      <c r="IF16" s="370">
        <v>29.146696077618511</v>
      </c>
      <c r="IG16" s="370">
        <v>30.344747072447873</v>
      </c>
      <c r="IH16" s="370">
        <v>30.257853476313453</v>
      </c>
      <c r="II16" s="370">
        <v>30.378477784914118</v>
      </c>
      <c r="IJ16" s="370">
        <v>30.451455887245519</v>
      </c>
      <c r="IK16" s="370">
        <v>30.690277907694682</v>
      </c>
      <c r="IL16" s="370">
        <v>30.562039036705958</v>
      </c>
      <c r="IM16" s="370">
        <v>30.541669390668527</v>
      </c>
      <c r="IN16" s="370">
        <v>29.826420035982537</v>
      </c>
      <c r="IO16" s="370">
        <v>30.212451335912405</v>
      </c>
      <c r="IP16" s="370">
        <v>30.2709158704806</v>
      </c>
      <c r="IQ16" s="370">
        <v>29.703460112383599</v>
      </c>
      <c r="IR16" s="370">
        <v>28.912153377137969</v>
      </c>
      <c r="IS16" s="370">
        <v>29.476239277265112</v>
      </c>
      <c r="IT16" s="370">
        <v>29.932255063027579</v>
      </c>
      <c r="IU16" s="370">
        <v>30.037460045275385</v>
      </c>
      <c r="IV16" s="370">
        <v>29.138922436710864</v>
      </c>
      <c r="IW16" s="370">
        <v>31.036987958197511</v>
      </c>
      <c r="IX16" s="370">
        <v>30.245215400603488</v>
      </c>
      <c r="IY16" s="370">
        <v>28.601155361902752</v>
      </c>
      <c r="IZ16" s="370">
        <v>29.306029552401849</v>
      </c>
      <c r="JA16" s="370">
        <v>30.163018571515895</v>
      </c>
      <c r="JB16" s="370">
        <v>28.772027860389564</v>
      </c>
      <c r="JC16" s="370">
        <v>30.091908382822837</v>
      </c>
      <c r="JD16" s="370">
        <v>28.97517546272595</v>
      </c>
      <c r="JE16" s="370">
        <v>29.135653832335599</v>
      </c>
      <c r="JF16" s="370">
        <v>30.037921766854133</v>
      </c>
      <c r="JG16" s="370">
        <v>29.565269146356069</v>
      </c>
      <c r="JH16" s="370">
        <v>30.981745085333344</v>
      </c>
      <c r="JI16" s="370">
        <v>30.041009479552272</v>
      </c>
      <c r="JJ16" s="370">
        <v>29.874147459144602</v>
      </c>
      <c r="JK16" s="370">
        <v>29.731569229414262</v>
      </c>
      <c r="JL16" s="370">
        <v>29.491643107594761</v>
      </c>
      <c r="JM16" s="370">
        <v>29.843637667024208</v>
      </c>
      <c r="JN16" s="370">
        <v>29.459102482085797</v>
      </c>
      <c r="JO16" s="370">
        <v>29.836275926673281</v>
      </c>
      <c r="JP16" s="370">
        <v>29.863056010453587</v>
      </c>
      <c r="JQ16" s="370">
        <v>29.78225373783598</v>
      </c>
      <c r="JR16" s="370">
        <v>30.088714492290421</v>
      </c>
      <c r="JS16" s="370">
        <v>29.559787057962641</v>
      </c>
      <c r="JT16" s="370">
        <v>29.919760022168003</v>
      </c>
      <c r="JU16" s="370">
        <v>29.746147529096501</v>
      </c>
      <c r="JV16" s="370">
        <v>30.052291552329148</v>
      </c>
      <c r="JW16" s="370">
        <v>30.75483830144168</v>
      </c>
      <c r="JX16" s="370">
        <v>29.881124451082741</v>
      </c>
      <c r="JY16" s="370">
        <v>30.009108050544505</v>
      </c>
      <c r="JZ16" s="370">
        <v>29.766770571891254</v>
      </c>
      <c r="KA16" s="370">
        <v>30.27823200460714</v>
      </c>
      <c r="KB16" s="370">
        <v>30.312431459230176</v>
      </c>
      <c r="KC16" s="370">
        <v>29.676422983252365</v>
      </c>
      <c r="KD16" s="370">
        <v>29.983249768754405</v>
      </c>
      <c r="KE16" s="370">
        <v>29.350580187391611</v>
      </c>
      <c r="KF16" s="370">
        <v>30.738105783277025</v>
      </c>
      <c r="KG16" s="370">
        <v>29.811526325122486</v>
      </c>
      <c r="KH16" s="370">
        <v>30.306551910393548</v>
      </c>
      <c r="KI16" s="370">
        <v>29.140640013200933</v>
      </c>
      <c r="KJ16" s="370">
        <v>30.641276341153095</v>
      </c>
      <c r="KK16" s="370">
        <v>30.281060831506622</v>
      </c>
      <c r="KL16" s="370">
        <v>31.018027059643579</v>
      </c>
      <c r="KM16" s="370">
        <v>30.053871242461302</v>
      </c>
      <c r="KN16" s="370">
        <v>30.337785049366811</v>
      </c>
      <c r="KO16" s="370">
        <v>29.811253017631277</v>
      </c>
      <c r="KP16" s="370">
        <v>29.999917196400297</v>
      </c>
      <c r="KQ16" s="370">
        <v>30.568935476397822</v>
      </c>
      <c r="KR16" s="370">
        <v>30.564152039331344</v>
      </c>
      <c r="KS16" s="370">
        <v>30.76764715179538</v>
      </c>
      <c r="KT16" s="370">
        <v>30.575724027938818</v>
      </c>
      <c r="KU16" s="370">
        <v>29.988917842091286</v>
      </c>
      <c r="KV16" s="370">
        <v>30.51601609756511</v>
      </c>
      <c r="KW16" s="370">
        <v>30.826638416393507</v>
      </c>
      <c r="KX16" s="370">
        <v>30.272245382951354</v>
      </c>
      <c r="KY16" s="370">
        <v>29.751076505965635</v>
      </c>
      <c r="KZ16" s="370">
        <v>30.017397853265383</v>
      </c>
      <c r="LA16" s="370">
        <v>29.770373864053145</v>
      </c>
      <c r="LB16" s="370">
        <v>28.851083807057098</v>
      </c>
      <c r="LC16" s="370">
        <v>29.870710477646199</v>
      </c>
      <c r="LD16" s="370">
        <v>29.103507908098884</v>
      </c>
      <c r="LE16" s="370">
        <v>29.830228633221619</v>
      </c>
      <c r="LF16" s="370">
        <v>29.304855438042843</v>
      </c>
      <c r="LG16" s="370">
        <v>28.807146312584575</v>
      </c>
      <c r="LH16" s="370">
        <v>30.568988415274685</v>
      </c>
      <c r="LI16" s="370">
        <v>29.925816306381925</v>
      </c>
      <c r="LJ16" s="370">
        <v>29.92333286044444</v>
      </c>
      <c r="LK16" s="370">
        <v>30.332099090391907</v>
      </c>
      <c r="LL16" s="370">
        <v>29.857023712005915</v>
      </c>
      <c r="LM16" s="370">
        <v>29.525798060300648</v>
      </c>
      <c r="LN16" s="370">
        <v>30.405853763427132</v>
      </c>
      <c r="LO16" s="370">
        <v>29.646814582587464</v>
      </c>
      <c r="LP16" s="370">
        <v>30.266631966674009</v>
      </c>
      <c r="LQ16" s="370">
        <v>30.156046625108178</v>
      </c>
      <c r="LR16" s="370">
        <v>28.558561448039811</v>
      </c>
      <c r="LS16" s="370">
        <v>30.467477420160375</v>
      </c>
      <c r="LT16" s="370">
        <v>30.374459309606628</v>
      </c>
      <c r="LU16" s="370">
        <v>30.494900320349846</v>
      </c>
      <c r="LV16" s="370">
        <v>29.942286400755343</v>
      </c>
      <c r="LW16" s="370">
        <v>30.022093785425717</v>
      </c>
      <c r="LX16" s="370">
        <v>31.030018714975995</v>
      </c>
      <c r="LY16" s="370">
        <v>29.519474083004308</v>
      </c>
      <c r="LZ16" s="370">
        <v>30.157323951695911</v>
      </c>
      <c r="MA16" s="370">
        <v>28.927156389573213</v>
      </c>
      <c r="MB16" s="370">
        <v>30.999398911485621</v>
      </c>
      <c r="MC16" s="370">
        <v>30.047892832293439</v>
      </c>
      <c r="MD16" s="370">
        <v>29.426226758522475</v>
      </c>
      <c r="ME16" s="370">
        <v>29.354237929925056</v>
      </c>
      <c r="MF16" s="370">
        <v>30.121886181855498</v>
      </c>
      <c r="MG16" s="370">
        <v>30.286768757801152</v>
      </c>
      <c r="MH16" s="370">
        <v>29.369859713011895</v>
      </c>
      <c r="MI16" s="370">
        <v>30.714404604387468</v>
      </c>
      <c r="MJ16" s="370">
        <v>31.091419613971908</v>
      </c>
      <c r="MK16" s="370">
        <v>30.59954313203967</v>
      </c>
      <c r="ML16" s="370">
        <v>30.453102677050087</v>
      </c>
      <c r="MM16" s="370">
        <v>30.08515671368075</v>
      </c>
      <c r="MN16" s="370">
        <v>29.935297849080616</v>
      </c>
      <c r="MO16" s="370">
        <v>29.884600970393205</v>
      </c>
      <c r="MP16" s="370">
        <v>30.058307366522421</v>
      </c>
      <c r="MQ16" s="370">
        <v>30.354068292760999</v>
      </c>
      <c r="MR16" s="370">
        <v>30.281352004211676</v>
      </c>
      <c r="MS16" s="370">
        <v>29.291693759969831</v>
      </c>
      <c r="MT16" s="370">
        <v>29.458542567496806</v>
      </c>
      <c r="MU16" s="370">
        <v>29.438543744246253</v>
      </c>
      <c r="MV16" s="370">
        <v>29.986069244971922</v>
      </c>
      <c r="MW16" s="370">
        <v>30.609298555404646</v>
      </c>
      <c r="MX16" s="370">
        <v>30.300803495263224</v>
      </c>
      <c r="MY16" s="370">
        <v>31.110898347378551</v>
      </c>
      <c r="MZ16" s="370">
        <v>28.538538184529372</v>
      </c>
      <c r="NA16" s="370">
        <v>30.457743145147795</v>
      </c>
      <c r="NB16" s="370">
        <v>29.690391700299401</v>
      </c>
      <c r="NC16" s="370">
        <v>29.840956017751921</v>
      </c>
      <c r="ND16" s="370">
        <v>30.132859503880368</v>
      </c>
      <c r="NE16" s="370">
        <v>29.755175788349316</v>
      </c>
      <c r="NF16" s="370">
        <v>30.009828352661717</v>
      </c>
      <c r="NG16" s="370">
        <v>28.761118138576187</v>
      </c>
      <c r="NH16" s="370">
        <v>30.626797159498377</v>
      </c>
      <c r="NI16" s="370">
        <v>29.535039171389524</v>
      </c>
      <c r="NJ16" s="370">
        <v>28.972441807938374</v>
      </c>
      <c r="NK16" s="370">
        <v>30.200579539672788</v>
      </c>
      <c r="NL16" s="370">
        <v>30.237020937880558</v>
      </c>
      <c r="NM16" s="370">
        <v>29.736320016733661</v>
      </c>
      <c r="NN16" s="370">
        <v>30.759574642025115</v>
      </c>
      <c r="NO16" s="370">
        <v>29.660097960806503</v>
      </c>
      <c r="NP16" s="370">
        <v>29.280933557881408</v>
      </c>
      <c r="NQ16" s="370">
        <v>30.639513902025776</v>
      </c>
      <c r="NR16" s="370">
        <v>29.690320136136553</v>
      </c>
      <c r="NS16" s="370">
        <v>29.656198096430675</v>
      </c>
      <c r="NT16" s="370">
        <v>30.142104711466647</v>
      </c>
      <c r="NU16" s="370">
        <v>29.525323004328683</v>
      </c>
      <c r="NV16" s="370">
        <v>30.422136272238308</v>
      </c>
      <c r="NW16" s="370">
        <v>29.441214996664719</v>
      </c>
      <c r="NX16" s="370">
        <v>30.328156679353722</v>
      </c>
      <c r="NY16" s="370">
        <v>29.19073419671944</v>
      </c>
      <c r="NZ16" s="370">
        <v>31.588491959046937</v>
      </c>
      <c r="OA16" s="370">
        <v>30.42845445836268</v>
      </c>
      <c r="OB16" s="370">
        <v>29.711753195083524</v>
      </c>
      <c r="OC16" s="370">
        <v>29.843954446137946</v>
      </c>
      <c r="OD16" s="370">
        <v>28.44447704634279</v>
      </c>
      <c r="OE16" s="370">
        <v>29.208359607385265</v>
      </c>
      <c r="OF16" s="370">
        <v>30.050969518723857</v>
      </c>
      <c r="OG16" s="370">
        <v>29.725160294007352</v>
      </c>
      <c r="OH16" s="370">
        <v>28.82016548762418</v>
      </c>
      <c r="OI16" s="370">
        <v>29.951445260794742</v>
      </c>
      <c r="OJ16" s="370">
        <v>30.362227097563654</v>
      </c>
      <c r="OK16" s="370">
        <v>29.667135475273685</v>
      </c>
      <c r="OL16" s="370">
        <v>30.059229034278914</v>
      </c>
      <c r="OM16" s="370">
        <v>29.911540960095575</v>
      </c>
      <c r="ON16" s="370">
        <v>30.003393836231346</v>
      </c>
      <c r="OO16" s="370">
        <v>31.166433862038893</v>
      </c>
      <c r="OP16" s="370">
        <v>29.673225982792566</v>
      </c>
      <c r="OQ16" s="370">
        <v>30.539872142975881</v>
      </c>
      <c r="OR16" s="370">
        <v>30.369244635924424</v>
      </c>
      <c r="OS16" s="370">
        <v>29.675932414747592</v>
      </c>
      <c r="OT16" s="370">
        <v>29.634556923042854</v>
      </c>
      <c r="OU16" s="370">
        <v>30.204034379283669</v>
      </c>
      <c r="OV16" s="370">
        <v>30.027056481348357</v>
      </c>
      <c r="OW16" s="370">
        <v>29.901489549562775</v>
      </c>
      <c r="OX16" s="370">
        <v>30.338000407557459</v>
      </c>
      <c r="OY16" s="370">
        <v>29.499622791948902</v>
      </c>
      <c r="OZ16" s="370">
        <v>29.564375967406001</v>
      </c>
      <c r="PA16" s="370">
        <v>30.554290811742913</v>
      </c>
      <c r="PB16" s="370">
        <v>29.25211008779679</v>
      </c>
      <c r="PC16" s="370">
        <v>29.123189155816078</v>
      </c>
      <c r="PD16" s="370">
        <v>29.980306464875945</v>
      </c>
      <c r="PE16" s="370">
        <v>29.30770843113083</v>
      </c>
      <c r="PF16" s="370">
        <v>29.466840056764827</v>
      </c>
      <c r="PG16" s="370">
        <v>28.956623983014126</v>
      </c>
      <c r="PH16" s="370">
        <v>29.366427947710747</v>
      </c>
      <c r="PI16" s="370">
        <v>29.633202013341503</v>
      </c>
      <c r="PJ16" s="370">
        <v>30.981256624489443</v>
      </c>
      <c r="PK16" s="370">
        <v>29.405038634487283</v>
      </c>
      <c r="PL16" s="370">
        <v>29.712515616851618</v>
      </c>
      <c r="PM16" s="370">
        <v>29.906538753751828</v>
      </c>
      <c r="PN16" s="370">
        <v>30.185653395606419</v>
      </c>
      <c r="PO16" s="370">
        <v>30.374307010495411</v>
      </c>
      <c r="PP16" s="370">
        <v>29.795762997459416</v>
      </c>
      <c r="PQ16" s="370">
        <v>29.045113843680511</v>
      </c>
      <c r="PR16" s="370">
        <v>30.318739728708664</v>
      </c>
      <c r="PS16" s="370">
        <v>29.698464745217795</v>
      </c>
      <c r="PT16" s="370">
        <v>30.820304586986737</v>
      </c>
      <c r="PU16" s="370">
        <v>30.489563515296403</v>
      </c>
      <c r="PV16" s="370">
        <v>30.873943551075708</v>
      </c>
      <c r="PW16" s="370">
        <v>30.294574122872863</v>
      </c>
      <c r="PX16" s="370">
        <v>30.531583312092916</v>
      </c>
      <c r="PY16" s="370">
        <v>30.113541035738439</v>
      </c>
      <c r="PZ16" s="370">
        <v>29.645734784178117</v>
      </c>
      <c r="QA16" s="370">
        <v>30.863249346463974</v>
      </c>
      <c r="QB16" s="370">
        <v>29.447190715599262</v>
      </c>
      <c r="QC16" s="370">
        <v>30.126665235991691</v>
      </c>
      <c r="QD16" s="370">
        <v>28.003873097065284</v>
      </c>
      <c r="QE16" s="370">
        <v>29.703390913249997</v>
      </c>
      <c r="QF16" s="370">
        <v>29.811327730310261</v>
      </c>
      <c r="QG16" s="370">
        <v>29.580158676195616</v>
      </c>
      <c r="QH16" s="370">
        <v>30.121491540090791</v>
      </c>
      <c r="QI16" s="370">
        <v>29.856665413392911</v>
      </c>
      <c r="QJ16" s="370">
        <v>28.816107526371706</v>
      </c>
      <c r="QK16" s="370">
        <v>29.547633923176779</v>
      </c>
      <c r="QL16" s="370">
        <v>30.420300276062527</v>
      </c>
      <c r="QM16" s="370">
        <v>28.603116545892771</v>
      </c>
      <c r="QN16" s="370">
        <v>31.217258947106497</v>
      </c>
      <c r="QO16" s="370">
        <v>29.937436682271723</v>
      </c>
      <c r="QP16" s="370">
        <v>30.023863541831734</v>
      </c>
      <c r="QQ16" s="370">
        <v>29.42726530870922</v>
      </c>
      <c r="QR16" s="370">
        <v>29.771260890618105</v>
      </c>
      <c r="QS16" s="370">
        <v>29.300912153053261</v>
      </c>
      <c r="QT16" s="370">
        <v>29.233482165701069</v>
      </c>
      <c r="QU16" s="370">
        <v>29.469295419627215</v>
      </c>
      <c r="QV16" s="370">
        <v>30.0187320385931</v>
      </c>
      <c r="QW16" s="370">
        <v>30.205870479475539</v>
      </c>
      <c r="QX16" s="370">
        <v>31.480690748630185</v>
      </c>
      <c r="QY16" s="370">
        <v>30.175685054815794</v>
      </c>
      <c r="QZ16" s="370">
        <v>29.1347818666165</v>
      </c>
      <c r="RA16" s="370">
        <v>30.275203134152754</v>
      </c>
      <c r="RB16" s="370">
        <v>30.918155526290871</v>
      </c>
      <c r="RC16" s="370">
        <v>29.601070475047194</v>
      </c>
      <c r="RD16" s="370">
        <v>30.7594894735244</v>
      </c>
      <c r="RE16" s="370">
        <v>29.435352859137492</v>
      </c>
      <c r="RF16" s="370">
        <v>30.827560389495105</v>
      </c>
      <c r="RG16" s="370">
        <v>29.385278401701552</v>
      </c>
      <c r="RH16" s="370">
        <v>29.203411517359807</v>
      </c>
      <c r="RI16" s="370">
        <v>29.68227232882095</v>
      </c>
      <c r="RJ16" s="370">
        <v>29.423376888906354</v>
      </c>
      <c r="RK16" s="370">
        <v>30.170251358780739</v>
      </c>
      <c r="RL16" s="370">
        <v>28.841249187403548</v>
      </c>
      <c r="RM16" s="370">
        <v>29.969302920133494</v>
      </c>
      <c r="RN16" s="370">
        <v>29.46494192621816</v>
      </c>
      <c r="RO16" s="370">
        <v>29.462403996951849</v>
      </c>
      <c r="RP16" s="370">
        <v>29.703957671037038</v>
      </c>
      <c r="RQ16" s="370">
        <v>29.837105059500747</v>
      </c>
      <c r="RR16" s="370">
        <v>30.326178874564565</v>
      </c>
      <c r="RS16" s="370">
        <v>30.264847072703759</v>
      </c>
      <c r="RT16" s="370">
        <v>30.537661076130213</v>
      </c>
      <c r="RU16" s="370">
        <v>31.105540827913959</v>
      </c>
      <c r="RV16" s="370">
        <v>30.344913742932974</v>
      </c>
      <c r="RW16" s="370">
        <v>29.298572642450477</v>
      </c>
      <c r="RX16" s="370">
        <v>30.218476196080552</v>
      </c>
      <c r="RY16" s="370">
        <v>29.796952783845668</v>
      </c>
      <c r="RZ16" s="370">
        <v>29.931301425562495</v>
      </c>
      <c r="SA16" s="370">
        <v>30.588430779504257</v>
      </c>
      <c r="SB16" s="370">
        <v>29.412684137871313</v>
      </c>
      <c r="SC16" s="370">
        <v>28.894658460130785</v>
      </c>
      <c r="SD16" s="370">
        <v>29.864075098836302</v>
      </c>
      <c r="SE16" s="370">
        <v>29.789822375865352</v>
      </c>
      <c r="SF16" s="370">
        <v>31.395687757090744</v>
      </c>
      <c r="SG16" s="370">
        <v>30.196230645534591</v>
      </c>
      <c r="SH16" s="370">
        <v>29.722468822233562</v>
      </c>
      <c r="SI16" s="370">
        <v>30.0137285175621</v>
      </c>
      <c r="SJ16" s="370">
        <v>31.287812076507691</v>
      </c>
      <c r="SK16" s="370">
        <v>29.186703717204047</v>
      </c>
      <c r="SL16" s="370">
        <v>29.445623333848438</v>
      </c>
      <c r="SM16" s="370">
        <v>29.723591610168985</v>
      </c>
      <c r="SN16" s="370">
        <v>29.608412215842115</v>
      </c>
      <c r="SO16" s="370">
        <v>30.11998099803559</v>
      </c>
      <c r="SP16" s="370">
        <v>29.523501976316993</v>
      </c>
      <c r="SQ16" s="370">
        <v>29.250235333574455</v>
      </c>
      <c r="SR16" s="370">
        <v>29.444839857541588</v>
      </c>
      <c r="SS16" s="370">
        <v>30.052370797455122</v>
      </c>
      <c r="ST16" s="370">
        <v>30.853595817441569</v>
      </c>
      <c r="SU16" s="370">
        <v>29.85225446124096</v>
      </c>
      <c r="SV16" s="370">
        <v>29.774067400629626</v>
      </c>
      <c r="SW16" s="370">
        <v>30.197630891096782</v>
      </c>
      <c r="SX16" s="370">
        <v>28.917614172954728</v>
      </c>
      <c r="SY16" s="370">
        <v>28.816455144924667</v>
      </c>
      <c r="SZ16" s="370">
        <v>30.235798683725868</v>
      </c>
      <c r="TA16" s="370">
        <v>30.479974241464042</v>
      </c>
      <c r="TB16" s="370">
        <v>30.066547692472273</v>
      </c>
      <c r="TC16" s="370">
        <v>28.665038376131029</v>
      </c>
      <c r="TD16" s="370">
        <v>29.465052673786268</v>
      </c>
      <c r="TE16" s="370">
        <v>29.45838653806813</v>
      </c>
      <c r="TF16" s="370">
        <v>30.299798004174562</v>
      </c>
      <c r="TG16" s="370">
        <v>30.268001589577846</v>
      </c>
      <c r="TH16" s="370">
        <v>29.712280704324368</v>
      </c>
      <c r="TI16" s="370">
        <v>29.584276686294242</v>
      </c>
      <c r="TJ16" s="370">
        <v>31.067727030503555</v>
      </c>
      <c r="TK16" s="370">
        <v>30.080308594200936</v>
      </c>
      <c r="TL16" s="370">
        <v>30.244796880923456</v>
      </c>
      <c r="TM16" s="370">
        <v>30.225892030974777</v>
      </c>
      <c r="TN16" s="370">
        <v>29.201734049235814</v>
      </c>
      <c r="TO16" s="370">
        <v>29.935625303642905</v>
      </c>
      <c r="TP16" s="370">
        <v>29.140191128160073</v>
      </c>
      <c r="TQ16" s="370">
        <v>29.711080309809805</v>
      </c>
      <c r="TR16" s="370">
        <v>29.122552053058659</v>
      </c>
      <c r="TS16" s="370">
        <v>29.901753340920965</v>
      </c>
      <c r="TT16" s="370">
        <v>30.277531241901951</v>
      </c>
      <c r="TU16" s="370">
        <v>29.888305582467549</v>
      </c>
      <c r="TV16" s="370">
        <v>29.349508870319543</v>
      </c>
      <c r="TW16" s="370">
        <v>30.483223683146772</v>
      </c>
      <c r="TX16" s="370">
        <v>30.583488896548381</v>
      </c>
      <c r="TY16" s="370">
        <v>29.857180199945656</v>
      </c>
      <c r="TZ16" s="370">
        <v>30.471392474598463</v>
      </c>
      <c r="UA16" s="370">
        <v>29.097520042293624</v>
      </c>
      <c r="UB16" s="370">
        <v>29.382466963188428</v>
      </c>
      <c r="UC16" s="370">
        <v>30.902892943213484</v>
      </c>
      <c r="UD16" s="370">
        <v>30.389900428661967</v>
      </c>
      <c r="UE16" s="370">
        <v>29.10803795976863</v>
      </c>
      <c r="UF16" s="370">
        <v>29.993413343624507</v>
      </c>
      <c r="UG16" s="370">
        <v>30.873901184219026</v>
      </c>
      <c r="UH16" s="370">
        <v>28.32616215281617</v>
      </c>
      <c r="UI16" s="370">
        <v>30.616994314273356</v>
      </c>
      <c r="UJ16" s="370">
        <v>31.302672956507902</v>
      </c>
      <c r="UK16" s="370">
        <v>30.094702024984919</v>
      </c>
      <c r="UL16" s="370">
        <v>30.520220748861927</v>
      </c>
      <c r="UM16" s="370">
        <v>30.318328794551185</v>
      </c>
      <c r="UN16" s="370">
        <v>31.187530406775871</v>
      </c>
      <c r="UO16" s="370">
        <v>29.638632966022509</v>
      </c>
      <c r="UP16" s="370">
        <v>30.210011238681101</v>
      </c>
      <c r="UQ16" s="370">
        <v>29.464239575127895</v>
      </c>
      <c r="UR16" s="370">
        <v>29.170372167741419</v>
      </c>
      <c r="US16" s="370">
        <v>30.372246080279698</v>
      </c>
      <c r="UT16" s="370">
        <v>29.569377564691486</v>
      </c>
      <c r="UU16" s="370">
        <v>29.229768719907835</v>
      </c>
      <c r="UV16" s="370">
        <v>29.429430290390158</v>
      </c>
      <c r="UW16" s="370">
        <v>30.66098603779502</v>
      </c>
      <c r="UX16" s="370">
        <v>30.138811835799903</v>
      </c>
      <c r="UY16" s="370">
        <v>29.983867410527864</v>
      </c>
      <c r="UZ16" s="370">
        <v>29.770984585299381</v>
      </c>
      <c r="VA16" s="370">
        <v>30.605753740847096</v>
      </c>
      <c r="VB16" s="370">
        <v>30.956891363581448</v>
      </c>
      <c r="VC16" s="370">
        <v>30.252591413626138</v>
      </c>
      <c r="VD16" s="370">
        <v>31.463753404367839</v>
      </c>
      <c r="VE16" s="370">
        <v>29.218500193114647</v>
      </c>
      <c r="VF16" s="370">
        <v>30.454180489185934</v>
      </c>
      <c r="VG16" s="370">
        <v>29.421277754430999</v>
      </c>
      <c r="VH16" s="370">
        <v>30.317814400585036</v>
      </c>
      <c r="VI16" s="370">
        <v>29.682170794985957</v>
      </c>
      <c r="VJ16" s="370">
        <v>30.570391467724122</v>
      </c>
      <c r="VK16" s="370">
        <v>30.514078428362833</v>
      </c>
      <c r="VL16" s="370">
        <v>29.758407708989971</v>
      </c>
      <c r="VM16" s="370">
        <v>29.813034868201349</v>
      </c>
      <c r="VN16" s="370">
        <v>29.196912431202865</v>
      </c>
      <c r="VO16" s="370">
        <v>30.183664895090146</v>
      </c>
      <c r="VP16" s="370">
        <v>28.923295991007958</v>
      </c>
      <c r="VQ16" s="370">
        <v>30.014263601051084</v>
      </c>
      <c r="VR16" s="370">
        <v>30.505027908527527</v>
      </c>
      <c r="VS16" s="370">
        <v>30.864901505344811</v>
      </c>
      <c r="VT16" s="370">
        <v>29.341775150746479</v>
      </c>
      <c r="VU16" s="370">
        <v>29.298503794178774</v>
      </c>
      <c r="VV16" s="370">
        <v>29.912238089660342</v>
      </c>
      <c r="VW16" s="370">
        <v>29.61020128133946</v>
      </c>
      <c r="VX16" s="370">
        <v>29.611917787556155</v>
      </c>
      <c r="VY16" s="370">
        <v>30.721885136577047</v>
      </c>
      <c r="VZ16" s="370">
        <v>30.430085975867119</v>
      </c>
      <c r="WA16" s="370">
        <v>29.891198516000493</v>
      </c>
      <c r="WB16" s="370">
        <v>29.631426525264366</v>
      </c>
      <c r="WC16" s="370">
        <v>30.35955452297927</v>
      </c>
      <c r="WD16" s="370">
        <v>30.393384674227256</v>
      </c>
      <c r="WE16" s="370">
        <v>29.977294291008121</v>
      </c>
      <c r="WF16" s="370">
        <v>29.650670028591268</v>
      </c>
      <c r="WG16" s="370">
        <v>30.557671892176881</v>
      </c>
      <c r="WH16" s="370">
        <v>30.189588924544385</v>
      </c>
      <c r="WI16" s="370">
        <v>30.368385724284174</v>
      </c>
      <c r="WJ16" s="370">
        <v>30.239132512845423</v>
      </c>
      <c r="WK16" s="370">
        <v>30.149779012400497</v>
      </c>
      <c r="WL16" s="370">
        <v>30.759992665739052</v>
      </c>
      <c r="WM16" s="370">
        <v>30.333576533694675</v>
      </c>
      <c r="WN16" s="370">
        <v>28.497090225538823</v>
      </c>
      <c r="WO16" s="370">
        <v>30.375288332269879</v>
      </c>
      <c r="WP16" s="370">
        <v>29.66974145290396</v>
      </c>
      <c r="WQ16" s="370">
        <v>29.554846148388631</v>
      </c>
      <c r="WR16" s="370">
        <v>29.487763293393787</v>
      </c>
      <c r="WS16" s="370">
        <v>29.379329728642283</v>
      </c>
      <c r="WT16" s="370">
        <v>30.518046158857118</v>
      </c>
      <c r="WU16" s="370">
        <v>29.745945539555368</v>
      </c>
      <c r="WV16" s="370">
        <v>29.751207471151677</v>
      </c>
      <c r="WW16" s="370">
        <v>28.828153609155375</v>
      </c>
      <c r="WX16" s="370">
        <v>30.264506053275767</v>
      </c>
      <c r="WY16" s="370">
        <v>29.741904631381143</v>
      </c>
      <c r="WZ16" s="370">
        <v>30.510039017279379</v>
      </c>
      <c r="XA16" s="370">
        <v>30.471441471319562</v>
      </c>
      <c r="XB16" s="370">
        <v>29.81187804222369</v>
      </c>
      <c r="XC16" s="370">
        <v>30.451233517651332</v>
      </c>
      <c r="XD16" s="370">
        <v>29.475306423650867</v>
      </c>
      <c r="XE16" s="370">
        <v>29.236834313234439</v>
      </c>
      <c r="XF16" s="370">
        <v>30.257734155278069</v>
      </c>
      <c r="XG16" s="370">
        <v>29.925439535883349</v>
      </c>
      <c r="XH16" s="370">
        <v>29.804887047674349</v>
      </c>
      <c r="XI16" s="370">
        <v>30.791977424414672</v>
      </c>
      <c r="XJ16" s="370">
        <v>30.032395997301659</v>
      </c>
      <c r="XK16" s="370">
        <v>29.881785993248293</v>
      </c>
      <c r="XL16" s="370">
        <v>29.942484785310523</v>
      </c>
      <c r="XM16" s="370">
        <v>29.796256783857164</v>
      </c>
      <c r="XN16" s="370">
        <v>29.464779463619664</v>
      </c>
      <c r="XO16" s="370">
        <v>31.368024720949876</v>
      </c>
      <c r="XP16" s="370">
        <v>30.558903128350156</v>
      </c>
      <c r="XQ16" s="370">
        <v>30.85393011820959</v>
      </c>
      <c r="XR16" s="370">
        <v>29.364683748785541</v>
      </c>
      <c r="XS16" s="370">
        <v>30.307058720370552</v>
      </c>
      <c r="XT16" s="370">
        <v>29.094151020976007</v>
      </c>
      <c r="XU16" s="370">
        <v>29.564324701963383</v>
      </c>
      <c r="XV16" s="370">
        <v>29.341867019298295</v>
      </c>
      <c r="XW16" s="370">
        <v>29.762827603892902</v>
      </c>
      <c r="XX16" s="370">
        <v>29.03339148756282</v>
      </c>
      <c r="XY16" s="370">
        <v>29.569755327468251</v>
      </c>
      <c r="XZ16" s="370">
        <v>29.375958750289133</v>
      </c>
      <c r="YA16" s="370">
        <v>31.561050957146925</v>
      </c>
      <c r="YB16" s="370">
        <v>30.776925558696114</v>
      </c>
      <c r="YC16" s="370">
        <v>29.248823800218517</v>
      </c>
      <c r="YD16" s="370">
        <v>29.878596177622079</v>
      </c>
      <c r="YE16" s="370">
        <v>30.937459936478572</v>
      </c>
      <c r="YF16" s="370">
        <v>31.145382526708577</v>
      </c>
      <c r="YG16" s="370">
        <v>29.615445776242169</v>
      </c>
      <c r="YH16" s="370">
        <v>29.910497795015417</v>
      </c>
      <c r="YI16" s="370">
        <v>30.365863867306157</v>
      </c>
      <c r="YJ16" s="370">
        <v>30.700566882045123</v>
      </c>
      <c r="YK16" s="370">
        <v>29.821610637270769</v>
      </c>
      <c r="YL16" s="370">
        <v>30.998689467537805</v>
      </c>
      <c r="YM16" s="370">
        <v>29.418837999184952</v>
      </c>
      <c r="YN16" s="370">
        <v>29.969945995378193</v>
      </c>
      <c r="YO16" s="370">
        <v>29.844647076633677</v>
      </c>
      <c r="YP16" s="370">
        <v>30.904295855205422</v>
      </c>
      <c r="YQ16" s="370">
        <v>29.686883692628825</v>
      </c>
      <c r="YR16" s="370">
        <v>30.776352785696229</v>
      </c>
      <c r="YS16" s="370">
        <v>29.97000969007436</v>
      </c>
      <c r="YT16" s="370">
        <v>30.19244099510939</v>
      </c>
      <c r="YU16" s="370">
        <v>29.902318656715813</v>
      </c>
      <c r="YV16" s="370">
        <v>29.987873582196784</v>
      </c>
      <c r="YW16" s="370">
        <v>29.058770736605982</v>
      </c>
      <c r="YX16" s="370">
        <v>30.031867879482796</v>
      </c>
      <c r="YY16" s="370">
        <v>29.302798078908882</v>
      </c>
      <c r="YZ16" s="370">
        <v>30.701540201704645</v>
      </c>
      <c r="ZA16" s="370">
        <v>30.511526466620282</v>
      </c>
      <c r="ZB16" s="370">
        <v>29.77983525070395</v>
      </c>
      <c r="ZC16" s="370">
        <v>29.397640728439086</v>
      </c>
      <c r="ZD16" s="370">
        <v>30.821128465946572</v>
      </c>
      <c r="ZE16" s="370">
        <v>30.21545958117073</v>
      </c>
      <c r="ZF16" s="370">
        <v>29.302515842588701</v>
      </c>
      <c r="ZG16" s="370">
        <v>30.141563015880415</v>
      </c>
      <c r="ZH16" s="370">
        <v>30.337730578405861</v>
      </c>
      <c r="ZI16" s="370">
        <v>30.407329331933035</v>
      </c>
      <c r="ZJ16" s="370">
        <v>29.027364363440611</v>
      </c>
      <c r="ZK16" s="370">
        <v>30.374872184781218</v>
      </c>
      <c r="ZL16" s="370">
        <v>30.219029161100835</v>
      </c>
      <c r="ZM16" s="370">
        <v>30.083731651149943</v>
      </c>
      <c r="ZN16" s="370">
        <v>30.206318098812122</v>
      </c>
      <c r="ZO16" s="370">
        <v>29.313443966778166</v>
      </c>
      <c r="ZP16" s="370">
        <v>29.709408777211287</v>
      </c>
      <c r="ZQ16" s="370">
        <v>30.377957425955216</v>
      </c>
      <c r="ZR16" s="370">
        <v>30.168875688203769</v>
      </c>
      <c r="ZS16" s="370">
        <v>30.10619163073666</v>
      </c>
      <c r="ZT16" s="370">
        <v>30.139782652452453</v>
      </c>
      <c r="ZU16" s="370">
        <v>29.518226047872378</v>
      </c>
      <c r="ZV16" s="370">
        <v>31.137563652402068</v>
      </c>
      <c r="ZW16" s="370">
        <v>29.30288167458021</v>
      </c>
      <c r="ZX16" s="370">
        <v>30.134541753390302</v>
      </c>
      <c r="ZY16" s="370">
        <v>29.406960054439445</v>
      </c>
      <c r="ZZ16" s="370">
        <v>30.976331419329025</v>
      </c>
      <c r="AAA16" s="370">
        <v>29.152183178927842</v>
      </c>
      <c r="AAB16" s="370">
        <v>30.260990629265429</v>
      </c>
      <c r="AAC16" s="370">
        <v>28.624251366674109</v>
      </c>
      <c r="AAD16" s="370">
        <v>28.879676897404224</v>
      </c>
      <c r="AAE16" s="370">
        <v>31.404350602222266</v>
      </c>
      <c r="AAF16" s="370">
        <v>29.910820522594555</v>
      </c>
      <c r="AAG16" s="370">
        <v>29.899515311778046</v>
      </c>
      <c r="AAH16" s="370">
        <v>31.064148053525237</v>
      </c>
      <c r="AAI16" s="370">
        <v>30.244163030564103</v>
      </c>
      <c r="AAJ16" s="370">
        <v>30.456149292976299</v>
      </c>
      <c r="AAK16" s="370">
        <v>29.783864969542758</v>
      </c>
      <c r="AAL16" s="370">
        <v>30.357093821076134</v>
      </c>
      <c r="AAM16" s="370">
        <v>29.339429832758018</v>
      </c>
      <c r="AAN16" s="370">
        <v>30.465752549713233</v>
      </c>
      <c r="AAO16" s="370">
        <v>31.090043688669887</v>
      </c>
      <c r="AAP16" s="370">
        <v>30.088629838134484</v>
      </c>
      <c r="AAQ16" s="370">
        <v>30.349938128621741</v>
      </c>
      <c r="AAR16" s="370">
        <v>30.552984899817208</v>
      </c>
      <c r="AAS16" s="370">
        <v>30.260829970045833</v>
      </c>
      <c r="AAT16" s="370">
        <v>31.043965832462138</v>
      </c>
      <c r="AAU16" s="370">
        <v>31.094963803646113</v>
      </c>
      <c r="AAV16" s="370">
        <v>30.010235134461162</v>
      </c>
      <c r="AAW16" s="370">
        <v>29.383974927897121</v>
      </c>
      <c r="AAX16" s="370">
        <v>30.234698739217386</v>
      </c>
      <c r="AAY16" s="370">
        <v>30.260421033734566</v>
      </c>
      <c r="AAZ16" s="370">
        <v>30.329819590211777</v>
      </c>
      <c r="ABA16" s="370">
        <v>29.749413001576592</v>
      </c>
      <c r="ABB16" s="370">
        <v>30.20693612620563</v>
      </c>
      <c r="ABC16" s="370">
        <v>30.721883646489601</v>
      </c>
      <c r="ABD16" s="370">
        <v>30.048706782679837</v>
      </c>
      <c r="ABE16" s="370">
        <v>29.856395093683467</v>
      </c>
      <c r="ABF16" s="370">
        <v>29.363657274181033</v>
      </c>
      <c r="ABG16" s="370">
        <v>30.812886920025786</v>
      </c>
      <c r="ABH16" s="370">
        <v>29.762212268049659</v>
      </c>
      <c r="ABI16" s="370">
        <v>30.46641361487432</v>
      </c>
      <c r="ABJ16" s="370">
        <v>30.256905561487876</v>
      </c>
      <c r="ABK16" s="370">
        <v>29.681170543227612</v>
      </c>
      <c r="ABL16" s="370">
        <v>30.430570174819579</v>
      </c>
      <c r="ABM16" s="370">
        <v>29.340283023902646</v>
      </c>
      <c r="ABN16" s="370">
        <v>30.946268572826867</v>
      </c>
      <c r="ABO16" s="370">
        <v>30.629279825172684</v>
      </c>
      <c r="ABP16" s="370">
        <v>30.21849323132933</v>
      </c>
      <c r="ABQ16" s="370">
        <v>29.841193861835624</v>
      </c>
      <c r="ABR16" s="370">
        <v>31.029137880326363</v>
      </c>
      <c r="ABS16" s="370">
        <v>30.176988011368692</v>
      </c>
      <c r="ABT16" s="370">
        <v>29.237748404322076</v>
      </c>
      <c r="ABU16" s="370">
        <v>30.391680912618167</v>
      </c>
      <c r="ABV16" s="370">
        <v>30.98667258773968</v>
      </c>
      <c r="ABW16" s="370">
        <v>30.769026668924695</v>
      </c>
      <c r="ABX16" s="370">
        <v>29.998792479175993</v>
      </c>
      <c r="ABY16" s="370">
        <v>30.144895482908105</v>
      </c>
      <c r="ABZ16" s="370">
        <v>29.857014138339441</v>
      </c>
      <c r="ACA16" s="370">
        <v>29.582286135571369</v>
      </c>
      <c r="ACB16" s="370">
        <v>29.930086779991889</v>
      </c>
      <c r="ACC16" s="370">
        <v>30.206136347047835</v>
      </c>
      <c r="ACD16" s="370">
        <v>29.130474337996375</v>
      </c>
      <c r="ACE16" s="370">
        <v>29.931592227446647</v>
      </c>
      <c r="ACF16" s="370">
        <v>30.571630674411338</v>
      </c>
      <c r="ACG16" s="370">
        <v>30.474190314373221</v>
      </c>
      <c r="ACH16" s="370">
        <v>30.900861901372402</v>
      </c>
      <c r="ACI16" s="370">
        <v>30.128423989289697</v>
      </c>
      <c r="ACJ16" s="370">
        <v>30.371687299357045</v>
      </c>
      <c r="ACK16" s="370">
        <v>29.534629159719412</v>
      </c>
      <c r="ACL16" s="370">
        <v>29.537924742711017</v>
      </c>
      <c r="ACM16" s="370">
        <v>30.911812651234051</v>
      </c>
      <c r="ACN16" s="370">
        <v>30.043196758356949</v>
      </c>
      <c r="ACO16" s="370">
        <v>29.793016983930073</v>
      </c>
      <c r="ACP16" s="370">
        <v>29.893307590867096</v>
      </c>
      <c r="ACQ16" s="370">
        <v>29.015579715805195</v>
      </c>
      <c r="ACR16" s="370">
        <v>30.592682446007554</v>
      </c>
      <c r="ACS16" s="370">
        <v>30.782979167672984</v>
      </c>
      <c r="ACT16" s="370">
        <v>29.682503612961582</v>
      </c>
      <c r="ACU16" s="370">
        <v>30.37710437418113</v>
      </c>
      <c r="ACV16" s="370">
        <v>30.018694575559024</v>
      </c>
      <c r="ACW16" s="370">
        <v>30.406251790910911</v>
      </c>
      <c r="ACX16" s="370">
        <v>30.540154825490742</v>
      </c>
      <c r="ACY16" s="370">
        <v>28.958905853257736</v>
      </c>
      <c r="ACZ16" s="370">
        <v>30.273370995161102</v>
      </c>
      <c r="ADA16" s="370">
        <v>29.19178627814312</v>
      </c>
      <c r="ADB16" s="370">
        <v>29.524038394382782</v>
      </c>
      <c r="ADC16" s="370">
        <v>29.624817778552025</v>
      </c>
      <c r="ADD16" s="370">
        <v>30.289738302319876</v>
      </c>
      <c r="ADE16" s="370">
        <v>29.751611954063375</v>
      </c>
      <c r="ADF16" s="370">
        <v>31.353725939065143</v>
      </c>
      <c r="ADG16" s="370">
        <v>31.103208660609191</v>
      </c>
      <c r="ADH16" s="370">
        <v>29.394616735090999</v>
      </c>
      <c r="ADI16" s="370">
        <v>29.461400561669773</v>
      </c>
      <c r="ADJ16" s="370">
        <v>30.685817705252212</v>
      </c>
      <c r="ADK16" s="370">
        <v>30.924302358548218</v>
      </c>
      <c r="ADL16" s="370">
        <v>31.0069258891474</v>
      </c>
      <c r="ADM16" s="370">
        <v>30.065956600348581</v>
      </c>
      <c r="ADN16" s="370">
        <v>30.6407799259248</v>
      </c>
      <c r="ADO16" s="370">
        <v>29.555565278212388</v>
      </c>
      <c r="ADP16" s="370">
        <v>29.45885664584025</v>
      </c>
      <c r="ADQ16" s="370">
        <v>30.147456686232008</v>
      </c>
      <c r="ADR16" s="370">
        <v>29.444085916653066</v>
      </c>
      <c r="ADS16" s="370">
        <v>29.374418714340024</v>
      </c>
      <c r="ADT16" s="370">
        <v>29.529533492193078</v>
      </c>
      <c r="ADU16" s="370">
        <v>30.443739980921823</v>
      </c>
      <c r="ADV16" s="370">
        <v>29.725673426556138</v>
      </c>
      <c r="ADW16" s="370">
        <v>29.577285762283896</v>
      </c>
      <c r="ADX16" s="370">
        <v>30.253936466436727</v>
      </c>
      <c r="ADY16" s="370">
        <v>30.376618399077625</v>
      </c>
      <c r="ADZ16" s="370">
        <v>28.941158181968081</v>
      </c>
      <c r="AEA16" s="370">
        <v>29.700197167832265</v>
      </c>
      <c r="AEB16" s="370">
        <v>29.828512669467806</v>
      </c>
      <c r="AEC16" s="370">
        <v>29.875236421435581</v>
      </c>
      <c r="AED16" s="370">
        <v>29.68866483882676</v>
      </c>
      <c r="AEE16" s="370">
        <v>29.853177935187748</v>
      </c>
      <c r="AEF16" s="370">
        <v>30.004634644527236</v>
      </c>
      <c r="AEG16" s="370">
        <v>31.913670323918215</v>
      </c>
      <c r="AEH16" s="370">
        <v>29.781804173629418</v>
      </c>
      <c r="AEI16" s="370">
        <v>30.57039432027571</v>
      </c>
      <c r="AEJ16" s="370">
        <v>29.804992503949634</v>
      </c>
      <c r="AEK16" s="370">
        <v>30.783380942788614</v>
      </c>
      <c r="AEL16" s="370">
        <v>30.306762054281119</v>
      </c>
      <c r="AEM16" s="370">
        <v>29.319436793803213</v>
      </c>
      <c r="AEN16" s="370">
        <v>30.167595388302967</v>
      </c>
      <c r="AEO16" s="370">
        <v>30.509497334917132</v>
      </c>
      <c r="AEP16" s="370">
        <v>29.013460618681052</v>
      </c>
      <c r="AEQ16" s="370">
        <v>29.256562585455075</v>
      </c>
      <c r="AER16" s="370">
        <v>29.154133604782455</v>
      </c>
      <c r="AES16" s="370">
        <v>30.186120941869845</v>
      </c>
      <c r="AET16" s="370">
        <v>29.858230466462619</v>
      </c>
      <c r="AEU16" s="370">
        <v>30.542484535395459</v>
      </c>
      <c r="AEV16" s="370">
        <v>30.741260778957415</v>
      </c>
      <c r="AEW16" s="370">
        <v>30.062957668712443</v>
      </c>
      <c r="AEX16" s="370">
        <v>28.651517404240312</v>
      </c>
      <c r="AEY16" s="370">
        <v>30.080062490387149</v>
      </c>
      <c r="AEZ16" s="370">
        <v>29.856945648837858</v>
      </c>
      <c r="AFA16" s="370">
        <v>31.377209262685135</v>
      </c>
      <c r="AFB16" s="370">
        <v>29.76311725052885</v>
      </c>
      <c r="AFC16" s="370">
        <v>30.695491218641813</v>
      </c>
      <c r="AFD16" s="370">
        <v>29.586428882580982</v>
      </c>
      <c r="AFE16" s="370">
        <v>30.203734312654927</v>
      </c>
      <c r="AFF16" s="370">
        <v>29.391245946666828</v>
      </c>
      <c r="AFG16" s="370">
        <v>30.113978688361833</v>
      </c>
      <c r="AFH16" s="370">
        <v>29.627429256166248</v>
      </c>
      <c r="AFI16" s="370">
        <v>29.853103449464662</v>
      </c>
      <c r="AFJ16" s="370">
        <v>29.877325105579761</v>
      </c>
      <c r="AFK16" s="370">
        <v>30.334502676511107</v>
      </c>
      <c r="AFL16" s="370">
        <v>30.13073126497553</v>
      </c>
      <c r="AFM16" s="370">
        <v>29.964613973036474</v>
      </c>
      <c r="AFN16" s="370">
        <v>29.820320936944249</v>
      </c>
      <c r="AFO16" s="370">
        <v>30.118327988807089</v>
      </c>
      <c r="AFP16" s="370">
        <v>30.098877084642265</v>
      </c>
      <c r="AFQ16" s="370">
        <v>29.646632790959547</v>
      </c>
      <c r="AFR16" s="370">
        <v>30.047068870714739</v>
      </c>
      <c r="AFS16" s="370">
        <v>30.371678055130349</v>
      </c>
      <c r="AFT16" s="370">
        <v>30.552036973332267</v>
      </c>
      <c r="AFU16" s="370">
        <v>29.972091003697173</v>
      </c>
      <c r="AFV16" s="370">
        <v>30.158985279468673</v>
      </c>
      <c r="AFW16" s="370">
        <v>31.137181048290635</v>
      </c>
      <c r="AFX16" s="370">
        <v>29.513892271447279</v>
      </c>
      <c r="AFY16" s="370">
        <v>28.728994810288413</v>
      </c>
      <c r="AFZ16" s="370">
        <v>30.135356610382296</v>
      </c>
      <c r="AGA16" s="370">
        <v>29.753979194695159</v>
      </c>
      <c r="AGB16" s="370">
        <v>30.624244624317001</v>
      </c>
      <c r="AGC16" s="370">
        <v>29.045882029065655</v>
      </c>
      <c r="AGD16" s="370">
        <v>30.36055714140344</v>
      </c>
      <c r="AGE16" s="370">
        <v>29.384523293399322</v>
      </c>
      <c r="AGF16" s="370">
        <v>29.240798834523002</v>
      </c>
      <c r="AGG16" s="370">
        <v>28.81965431513304</v>
      </c>
      <c r="AGH16" s="370">
        <v>29.997178513680364</v>
      </c>
      <c r="AGI16" s="370">
        <v>30.996157984340059</v>
      </c>
      <c r="AGJ16" s="370">
        <v>30.121837493960374</v>
      </c>
      <c r="AGK16" s="370">
        <v>30.14921349872154</v>
      </c>
      <c r="AGL16" s="370">
        <v>30.231677896807238</v>
      </c>
      <c r="AGM16" s="370">
        <v>30.049857932671401</v>
      </c>
      <c r="AGN16" s="370">
        <v>29.382170801213906</v>
      </c>
      <c r="AGO16" s="370">
        <v>30.32705778042618</v>
      </c>
      <c r="AGP16" s="370">
        <v>29.421283960306923</v>
      </c>
      <c r="AGQ16" s="370">
        <v>31.056952565874635</v>
      </c>
      <c r="AGR16" s="370">
        <v>30.869811445162959</v>
      </c>
      <c r="AGS16" s="370">
        <v>30.032127244469837</v>
      </c>
      <c r="AGT16" s="370">
        <v>29.661089098774639</v>
      </c>
      <c r="AGU16" s="370">
        <v>30.031934613763106</v>
      </c>
      <c r="AGV16" s="370">
        <v>29.618262568243875</v>
      </c>
      <c r="AGW16" s="370">
        <v>29.956198513243436</v>
      </c>
      <c r="AGX16" s="370">
        <v>29.996010000913515</v>
      </c>
      <c r="AGY16" s="370">
        <v>30.459798879743328</v>
      </c>
      <c r="AGZ16" s="370">
        <v>30.47001294468172</v>
      </c>
      <c r="AHA16" s="370">
        <v>29.559425689292759</v>
      </c>
      <c r="AHB16" s="370">
        <v>30.05947976869582</v>
      </c>
      <c r="AHC16" s="370">
        <v>30.032133737720336</v>
      </c>
      <c r="AHD16" s="370">
        <v>29.756915517112734</v>
      </c>
      <c r="AHE16" s="370">
        <v>30.362410643211415</v>
      </c>
      <c r="AHF16" s="370">
        <v>29.847396865953765</v>
      </c>
      <c r="AHG16" s="370">
        <v>30.531552650429948</v>
      </c>
      <c r="AHH16" s="370">
        <v>29.084984205508352</v>
      </c>
      <c r="AHI16" s="370">
        <v>29.333256455369707</v>
      </c>
      <c r="AHJ16" s="370">
        <v>29.714442061206658</v>
      </c>
      <c r="AHK16" s="370">
        <v>30.951495426921902</v>
      </c>
      <c r="AHL16" s="370">
        <v>29.683957407451064</v>
      </c>
      <c r="AHM16" s="370">
        <v>30.698552260661572</v>
      </c>
      <c r="AHN16" s="370">
        <v>30.466451477341113</v>
      </c>
      <c r="AHO16" s="370">
        <v>29.945379579611117</v>
      </c>
      <c r="AHP16" s="370">
        <v>30.265343367324043</v>
      </c>
      <c r="AHQ16" s="370">
        <v>30.199932440228221</v>
      </c>
      <c r="AHR16" s="370">
        <v>30.03645908845083</v>
      </c>
      <c r="AHS16" s="370">
        <v>29.459919689819671</v>
      </c>
      <c r="AHT16" s="370">
        <v>28.943749953595347</v>
      </c>
      <c r="AHU16" s="370">
        <v>29.726266236911741</v>
      </c>
      <c r="AHV16" s="370">
        <v>30.062044366087097</v>
      </c>
      <c r="AHW16" s="370">
        <v>29.373575948573393</v>
      </c>
      <c r="AHX16" s="370">
        <v>30.019370370158242</v>
      </c>
      <c r="AHY16" s="370">
        <v>29.336997944164981</v>
      </c>
      <c r="AHZ16" s="370">
        <v>29.116519729191346</v>
      </c>
      <c r="AIA16" s="370">
        <v>30.242742715856824</v>
      </c>
      <c r="AIB16" s="370">
        <v>29.942497770312826</v>
      </c>
      <c r="AIC16" s="370">
        <v>29.971369905877793</v>
      </c>
      <c r="AID16" s="370">
        <v>30.141210255691895</v>
      </c>
      <c r="AIE16" s="370">
        <v>29.619837024731265</v>
      </c>
      <c r="AIF16" s="370">
        <v>29.995472525728054</v>
      </c>
      <c r="AIG16" s="370">
        <v>29.003151292825379</v>
      </c>
      <c r="AIH16" s="370">
        <v>30.641136480337074</v>
      </c>
      <c r="AII16" s="370">
        <v>30.441319114565438</v>
      </c>
      <c r="AIJ16" s="370">
        <v>29.971880505817353</v>
      </c>
      <c r="AIK16" s="370">
        <v>30.412453388865632</v>
      </c>
      <c r="AIL16" s="370">
        <v>30.604282464710682</v>
      </c>
      <c r="AIM16" s="370">
        <v>29.536523191314238</v>
      </c>
      <c r="AIN16" s="370">
        <v>30.042761772987447</v>
      </c>
      <c r="AIO16" s="370">
        <v>30.45935533628775</v>
      </c>
      <c r="AIP16" s="370">
        <v>30.486384818808204</v>
      </c>
      <c r="AIQ16" s="370">
        <v>30.860408243228747</v>
      </c>
      <c r="AIR16" s="370">
        <v>28.29575020308835</v>
      </c>
      <c r="AIS16" s="370">
        <v>30.063881663529969</v>
      </c>
      <c r="AIT16" s="370">
        <v>29.473095139464359</v>
      </c>
      <c r="AIU16" s="370">
        <v>29.880830350576762</v>
      </c>
      <c r="AIV16" s="370">
        <v>30.019551933867081</v>
      </c>
      <c r="AIW16" s="370">
        <v>30.36787960027074</v>
      </c>
      <c r="AIX16" s="370">
        <v>30.464685224066564</v>
      </c>
      <c r="AIY16" s="370">
        <v>30.035176056759212</v>
      </c>
      <c r="AIZ16" s="370">
        <v>30.891422318014779</v>
      </c>
      <c r="AJA16" s="370">
        <v>29.613038388986624</v>
      </c>
      <c r="AJB16" s="370">
        <v>30.068603508018533</v>
      </c>
      <c r="AJC16" s="370">
        <v>29.645347510486225</v>
      </c>
      <c r="AJD16" s="370">
        <v>29.780604006372986</v>
      </c>
      <c r="AJE16" s="370">
        <v>29.702955515190844</v>
      </c>
      <c r="AJF16" s="370">
        <v>30.369124333527175</v>
      </c>
      <c r="AJG16" s="370">
        <v>31.301111003537883</v>
      </c>
      <c r="AJH16" s="370">
        <v>29.422671394865198</v>
      </c>
      <c r="AJI16" s="370">
        <v>29.698835490062393</v>
      </c>
      <c r="AJJ16" s="370">
        <v>30.548685769760585</v>
      </c>
      <c r="AJK16" s="370">
        <v>29.478086732074026</v>
      </c>
      <c r="AJL16" s="370">
        <v>31.135898457256907</v>
      </c>
      <c r="AJM16" s="370">
        <v>30.891104712753464</v>
      </c>
      <c r="AJN16" s="370">
        <v>30.071112137844661</v>
      </c>
      <c r="AJO16" s="370">
        <v>30.322794965138769</v>
      </c>
      <c r="AJP16" s="370">
        <v>30.191076096742361</v>
      </c>
      <c r="AJQ16" s="370">
        <v>29.221960652709743</v>
      </c>
      <c r="AJR16" s="370">
        <v>30.813361355309713</v>
      </c>
      <c r="AJS16" s="370">
        <v>30.106152012739457</v>
      </c>
      <c r="AJT16" s="370">
        <v>29.596267565263311</v>
      </c>
      <c r="AJU16" s="370">
        <v>31.366131254822548</v>
      </c>
      <c r="AJV16" s="370">
        <v>29.354406779437557</v>
      </c>
      <c r="AJW16" s="370">
        <v>29.212366552999274</v>
      </c>
      <c r="AJX16" s="370">
        <v>29.513202764624172</v>
      </c>
      <c r="AJY16" s="370">
        <v>28.866497399436511</v>
      </c>
      <c r="AJZ16" s="370">
        <v>30.365718171238065</v>
      </c>
      <c r="AKA16" s="370">
        <v>30.557581279054482</v>
      </c>
      <c r="AKB16" s="370">
        <v>29.272650868054331</v>
      </c>
      <c r="AKC16" s="370">
        <v>30.758507897398953</v>
      </c>
      <c r="AKD16" s="370">
        <v>29.864393904379021</v>
      </c>
      <c r="AKE16" s="370">
        <v>30.084226534436414</v>
      </c>
      <c r="AKF16" s="370">
        <v>30.561333232382687</v>
      </c>
      <c r="AKG16" s="370">
        <v>30.015039978868746</v>
      </c>
      <c r="AKH16" s="370">
        <v>29.451168736989057</v>
      </c>
      <c r="AKI16" s="370">
        <v>29.766460029201667</v>
      </c>
      <c r="AKJ16" s="370">
        <v>29.932835125134368</v>
      </c>
      <c r="AKK16" s="370">
        <v>29.049824759210168</v>
      </c>
      <c r="AKL16" s="370">
        <v>29.631185320571291</v>
      </c>
      <c r="AKM16" s="370">
        <v>29.99965130437187</v>
      </c>
      <c r="AKN16" s="370">
        <v>29.807798593549734</v>
      </c>
      <c r="AKO16" s="370">
        <v>31.012212414934471</v>
      </c>
      <c r="AKP16" s="370">
        <v>29.430392968158387</v>
      </c>
      <c r="AKQ16" s="370">
        <v>30.091579696410552</v>
      </c>
      <c r="AKR16" s="370">
        <v>29.480192914729166</v>
      </c>
      <c r="AKS16" s="370">
        <v>30.702329485172076</v>
      </c>
      <c r="AKT16" s="370">
        <v>30.183154734578245</v>
      </c>
      <c r="AKU16" s="370">
        <v>29.737998379374034</v>
      </c>
      <c r="AKV16" s="370">
        <v>30.450000273977473</v>
      </c>
      <c r="AKW16" s="370">
        <v>30.417328180983883</v>
      </c>
      <c r="AKX16" s="370">
        <v>30.162328366559546</v>
      </c>
      <c r="AKY16" s="370">
        <v>30.665004770574129</v>
      </c>
      <c r="AKZ16" s="370">
        <v>29.548792099409095</v>
      </c>
      <c r="ALA16" s="370">
        <v>30.434940221576934</v>
      </c>
      <c r="ALB16" s="370">
        <v>29.798173569330611</v>
      </c>
      <c r="ALC16" s="370">
        <v>29.932566049060433</v>
      </c>
      <c r="ALD16" s="370">
        <v>30.849098356062946</v>
      </c>
      <c r="ALE16" s="370">
        <v>29.733002990815454</v>
      </c>
      <c r="ALF16" s="370">
        <v>29.839013503057366</v>
      </c>
      <c r="ALG16" s="370">
        <v>30.250635437044089</v>
      </c>
      <c r="ALH16" s="370">
        <v>29.941887452746005</v>
      </c>
      <c r="ALI16" s="370">
        <v>29.313898279928122</v>
      </c>
      <c r="ALJ16" s="370">
        <v>29.882264810222772</v>
      </c>
      <c r="ALK16" s="370">
        <v>29.649961771654311</v>
      </c>
      <c r="ALL16" s="370">
        <v>30.354137906604585</v>
      </c>
      <c r="ALM16" s="370">
        <v>29.158315327892549</v>
      </c>
      <c r="ALN16" s="370">
        <v>29.910239597092854</v>
      </c>
      <c r="ALO16" s="370">
        <v>29.787667731611087</v>
      </c>
      <c r="ALP16" s="370">
        <v>30.528665323598908</v>
      </c>
      <c r="ALQ16" s="370">
        <v>29.791717355749604</v>
      </c>
      <c r="ALR16" s="370">
        <v>30.295948541841341</v>
      </c>
      <c r="ALS16" s="370">
        <v>29.516335395573268</v>
      </c>
      <c r="ALT16" s="370">
        <v>29.192088548064653</v>
      </c>
      <c r="ALU16" s="370">
        <v>29.862741835998317</v>
      </c>
      <c r="ALV16" s="370">
        <v>30.235129224854052</v>
      </c>
      <c r="ALW16" s="370">
        <v>29.803186537986697</v>
      </c>
      <c r="ALX16" s="370">
        <v>29.431269788497076</v>
      </c>
      <c r="ALY16" s="370">
        <v>30.747735738818282</v>
      </c>
      <c r="ALZ16" s="370">
        <v>29.127592063778561</v>
      </c>
      <c r="AMA16" s="370">
        <v>30.233508511051021</v>
      </c>
      <c r="AMB16" s="370">
        <v>30.865376308420721</v>
      </c>
      <c r="AMC16" s="370">
        <v>30.371663088476005</v>
      </c>
      <c r="AMD16" s="370">
        <v>30.916087808511136</v>
      </c>
      <c r="AME16" s="370">
        <v>29.227133538645528</v>
      </c>
      <c r="AMF16" s="370">
        <v>29.930609951119209</v>
      </c>
    </row>
    <row r="17" spans="1:600" s="370" customFormat="1" ht="18" customHeight="1" thickBot="1" x14ac:dyDescent="0.25">
      <c r="A17" s="104">
        <v>-1.7767725372588372</v>
      </c>
      <c r="B17" s="346"/>
      <c r="C17" s="141"/>
      <c r="D17" s="141"/>
      <c r="E17" s="142"/>
      <c r="F17" s="347"/>
      <c r="G17" s="182"/>
      <c r="H17" s="340"/>
      <c r="I17" s="484" t="s">
        <v>135</v>
      </c>
      <c r="J17" s="485"/>
      <c r="K17" s="486"/>
      <c r="L17" s="182"/>
      <c r="M17" s="182"/>
      <c r="N17" s="186"/>
      <c r="O17" s="127"/>
      <c r="P17" s="538"/>
      <c r="Q17" s="377"/>
      <c r="R17" s="356"/>
      <c r="S17" s="356"/>
      <c r="T17" s="347"/>
      <c r="U17" s="366" t="s">
        <v>717</v>
      </c>
      <c r="V17" s="137" t="s">
        <v>718</v>
      </c>
      <c r="W17" s="137" t="s">
        <v>715</v>
      </c>
      <c r="X17" s="137" t="s">
        <v>719</v>
      </c>
      <c r="Y17" s="137" t="s">
        <v>720</v>
      </c>
      <c r="Z17" s="137" t="s">
        <v>721</v>
      </c>
      <c r="AA17" s="137" t="s">
        <v>722</v>
      </c>
      <c r="AB17" s="137" t="s">
        <v>723</v>
      </c>
      <c r="AC17" s="137" t="s">
        <v>724</v>
      </c>
      <c r="AD17" s="137" t="s">
        <v>725</v>
      </c>
      <c r="AE17" s="137" t="s">
        <v>726</v>
      </c>
      <c r="AF17" s="137" t="s">
        <v>727</v>
      </c>
      <c r="AG17" s="137" t="s">
        <v>728</v>
      </c>
      <c r="AH17" s="137" t="s">
        <v>729</v>
      </c>
      <c r="AI17" s="137" t="s">
        <v>730</v>
      </c>
      <c r="AJ17" s="137" t="s">
        <v>731</v>
      </c>
      <c r="AK17" s="137" t="s">
        <v>732</v>
      </c>
      <c r="AL17" s="137" t="s">
        <v>733</v>
      </c>
      <c r="AM17" s="137" t="s">
        <v>734</v>
      </c>
      <c r="AN17" s="137" t="s">
        <v>735</v>
      </c>
      <c r="AO17" s="137" t="s">
        <v>736</v>
      </c>
      <c r="AP17" s="137" t="s">
        <v>737</v>
      </c>
      <c r="AQ17" s="137" t="s">
        <v>738</v>
      </c>
      <c r="AR17" s="137" t="s">
        <v>739</v>
      </c>
      <c r="AS17" s="137" t="s">
        <v>740</v>
      </c>
      <c r="AT17" s="137" t="s">
        <v>741</v>
      </c>
      <c r="AU17" s="137" t="s">
        <v>742</v>
      </c>
      <c r="AV17" s="137" t="s">
        <v>743</v>
      </c>
      <c r="AW17" s="137" t="s">
        <v>744</v>
      </c>
      <c r="AX17" s="137" t="s">
        <v>745</v>
      </c>
      <c r="AY17" s="137" t="s">
        <v>716</v>
      </c>
      <c r="AZ17" s="137" t="s">
        <v>746</v>
      </c>
      <c r="BA17" s="137" t="s">
        <v>747</v>
      </c>
      <c r="BB17" s="137" t="s">
        <v>748</v>
      </c>
      <c r="BC17" s="137" t="s">
        <v>749</v>
      </c>
      <c r="BD17" s="137" t="s">
        <v>750</v>
      </c>
      <c r="BE17" s="137" t="s">
        <v>751</v>
      </c>
      <c r="BF17" s="137" t="s">
        <v>752</v>
      </c>
      <c r="BG17" s="137" t="s">
        <v>753</v>
      </c>
      <c r="BH17" s="137" t="s">
        <v>754</v>
      </c>
      <c r="BI17" s="137" t="s">
        <v>755</v>
      </c>
      <c r="BJ17" s="137" t="s">
        <v>703</v>
      </c>
      <c r="BK17" s="137" t="s">
        <v>704</v>
      </c>
      <c r="BL17" s="137" t="s">
        <v>705</v>
      </c>
      <c r="BM17" s="137" t="s">
        <v>706</v>
      </c>
      <c r="BN17" s="137" t="s">
        <v>707</v>
      </c>
      <c r="BO17" s="137" t="s">
        <v>708</v>
      </c>
      <c r="BP17" s="137" t="s">
        <v>709</v>
      </c>
      <c r="BQ17" s="137" t="s">
        <v>710</v>
      </c>
      <c r="BR17" s="137" t="s">
        <v>571</v>
      </c>
      <c r="BS17" s="137" t="s">
        <v>572</v>
      </c>
      <c r="BT17" s="137" t="s">
        <v>573</v>
      </c>
      <c r="BU17" s="137" t="s">
        <v>574</v>
      </c>
      <c r="BV17" s="137" t="s">
        <v>575</v>
      </c>
      <c r="BW17" s="137" t="s">
        <v>576</v>
      </c>
      <c r="BX17" s="137" t="s">
        <v>577</v>
      </c>
      <c r="BY17" s="137" t="s">
        <v>578</v>
      </c>
      <c r="BZ17" s="137" t="s">
        <v>579</v>
      </c>
      <c r="CA17" s="137" t="s">
        <v>580</v>
      </c>
      <c r="CB17" s="137" t="s">
        <v>581</v>
      </c>
      <c r="CC17" s="137" t="s">
        <v>582</v>
      </c>
      <c r="CD17" s="137" t="s">
        <v>583</v>
      </c>
      <c r="CE17" s="137" t="s">
        <v>584</v>
      </c>
      <c r="CF17" s="137" t="s">
        <v>585</v>
      </c>
      <c r="CG17" s="137" t="s">
        <v>586</v>
      </c>
      <c r="CH17" s="137" t="s">
        <v>587</v>
      </c>
      <c r="CI17" s="137" t="s">
        <v>588</v>
      </c>
      <c r="CJ17" s="137" t="s">
        <v>589</v>
      </c>
      <c r="CK17" s="137" t="s">
        <v>590</v>
      </c>
      <c r="CL17" s="137" t="s">
        <v>591</v>
      </c>
      <c r="CM17" s="137" t="s">
        <v>592</v>
      </c>
      <c r="CN17" s="137" t="s">
        <v>593</v>
      </c>
      <c r="CO17" s="137" t="s">
        <v>594</v>
      </c>
      <c r="CP17" s="137" t="s">
        <v>595</v>
      </c>
      <c r="CQ17" s="137" t="s">
        <v>596</v>
      </c>
      <c r="CR17" s="137" t="s">
        <v>597</v>
      </c>
      <c r="CS17" s="137" t="s">
        <v>598</v>
      </c>
      <c r="CT17" s="137" t="s">
        <v>599</v>
      </c>
      <c r="CU17" s="137" t="s">
        <v>600</v>
      </c>
      <c r="CV17" s="137" t="s">
        <v>601</v>
      </c>
      <c r="CW17" s="137" t="s">
        <v>602</v>
      </c>
      <c r="CX17" s="137" t="s">
        <v>603</v>
      </c>
      <c r="CY17" s="137" t="s">
        <v>604</v>
      </c>
      <c r="CZ17" s="137" t="s">
        <v>605</v>
      </c>
      <c r="DA17" s="137" t="s">
        <v>606</v>
      </c>
      <c r="DB17" s="137" t="s">
        <v>607</v>
      </c>
      <c r="DC17" s="137" t="s">
        <v>608</v>
      </c>
      <c r="DD17" s="137" t="s">
        <v>609</v>
      </c>
      <c r="DE17" s="137" t="s">
        <v>610</v>
      </c>
      <c r="DF17" s="137" t="s">
        <v>611</v>
      </c>
      <c r="DG17" s="137" t="s">
        <v>612</v>
      </c>
      <c r="DH17" s="137" t="s">
        <v>613</v>
      </c>
      <c r="DI17" s="137" t="s">
        <v>614</v>
      </c>
      <c r="DJ17" s="137" t="s">
        <v>615</v>
      </c>
      <c r="DK17" s="137" t="s">
        <v>616</v>
      </c>
      <c r="DL17" s="137" t="s">
        <v>617</v>
      </c>
      <c r="DM17" s="137" t="s">
        <v>618</v>
      </c>
      <c r="DN17" s="137" t="s">
        <v>619</v>
      </c>
      <c r="DO17" s="137" t="s">
        <v>620</v>
      </c>
      <c r="DP17" s="137" t="s">
        <v>621</v>
      </c>
      <c r="DQ17" s="137" t="s">
        <v>622</v>
      </c>
      <c r="DR17" s="370" t="s">
        <v>623</v>
      </c>
      <c r="DS17" s="370" t="s">
        <v>624</v>
      </c>
      <c r="DT17" s="370" t="s">
        <v>625</v>
      </c>
      <c r="DU17" s="370" t="s">
        <v>626</v>
      </c>
      <c r="DV17" s="370" t="s">
        <v>627</v>
      </c>
      <c r="DW17" s="370" t="s">
        <v>628</v>
      </c>
      <c r="DX17" s="370" t="s">
        <v>629</v>
      </c>
      <c r="DY17" s="370" t="s">
        <v>630</v>
      </c>
      <c r="DZ17" s="370" t="s">
        <v>631</v>
      </c>
      <c r="EA17" s="370" t="s">
        <v>632</v>
      </c>
      <c r="EB17" s="370" t="s">
        <v>633</v>
      </c>
      <c r="EC17" s="370" t="s">
        <v>634</v>
      </c>
      <c r="ED17" s="370" t="s">
        <v>635</v>
      </c>
      <c r="EE17" s="370" t="s">
        <v>636</v>
      </c>
      <c r="EF17" s="370" t="s">
        <v>637</v>
      </c>
      <c r="EG17" s="370" t="s">
        <v>638</v>
      </c>
      <c r="EH17" s="370" t="s">
        <v>639</v>
      </c>
      <c r="EI17" s="370" t="s">
        <v>640</v>
      </c>
      <c r="EJ17" s="370" t="s">
        <v>641</v>
      </c>
      <c r="EK17" s="370" t="s">
        <v>642</v>
      </c>
      <c r="EL17" s="370" t="s">
        <v>643</v>
      </c>
      <c r="EM17" s="370" t="s">
        <v>644</v>
      </c>
      <c r="EN17" s="370" t="s">
        <v>645</v>
      </c>
      <c r="EO17" s="370" t="s">
        <v>646</v>
      </c>
      <c r="EP17" s="370" t="s">
        <v>647</v>
      </c>
      <c r="EQ17" s="370" t="s">
        <v>648</v>
      </c>
      <c r="ER17" s="370" t="s">
        <v>649</v>
      </c>
      <c r="ES17" s="370" t="s">
        <v>650</v>
      </c>
      <c r="ET17" s="370" t="s">
        <v>651</v>
      </c>
      <c r="EU17" s="370" t="s">
        <v>652</v>
      </c>
      <c r="EV17" s="370" t="s">
        <v>653</v>
      </c>
      <c r="EW17" s="370" t="s">
        <v>654</v>
      </c>
      <c r="EX17" s="370" t="s">
        <v>655</v>
      </c>
      <c r="EY17" s="370" t="s">
        <v>656</v>
      </c>
      <c r="EZ17" s="370" t="s">
        <v>657</v>
      </c>
      <c r="FA17" s="370" t="s">
        <v>658</v>
      </c>
      <c r="FB17" s="370" t="s">
        <v>659</v>
      </c>
      <c r="FC17" s="370" t="s">
        <v>660</v>
      </c>
      <c r="FD17" s="370" t="s">
        <v>661</v>
      </c>
      <c r="FE17" s="370" t="s">
        <v>662</v>
      </c>
      <c r="FF17" s="370" t="s">
        <v>663</v>
      </c>
      <c r="FG17" s="370" t="s">
        <v>664</v>
      </c>
      <c r="FH17" s="370" t="s">
        <v>665</v>
      </c>
      <c r="FI17" s="370" t="s">
        <v>666</v>
      </c>
      <c r="FJ17" s="370" t="s">
        <v>667</v>
      </c>
      <c r="FK17" s="370" t="s">
        <v>668</v>
      </c>
      <c r="FL17" s="370" t="s">
        <v>669</v>
      </c>
      <c r="FM17" s="370" t="s">
        <v>670</v>
      </c>
      <c r="FN17" s="370" t="s">
        <v>671</v>
      </c>
      <c r="FO17" s="370" t="s">
        <v>672</v>
      </c>
      <c r="FP17" s="370" t="s">
        <v>673</v>
      </c>
      <c r="FQ17" s="370" t="s">
        <v>674</v>
      </c>
      <c r="FR17" s="370" t="s">
        <v>675</v>
      </c>
      <c r="FS17" s="370" t="s">
        <v>676</v>
      </c>
      <c r="FT17" s="370" t="s">
        <v>677</v>
      </c>
      <c r="FU17" s="370" t="s">
        <v>678</v>
      </c>
      <c r="FV17" s="370" t="s">
        <v>679</v>
      </c>
      <c r="FW17" s="370" t="s">
        <v>680</v>
      </c>
      <c r="FX17" s="370" t="s">
        <v>681</v>
      </c>
      <c r="FY17" s="370" t="s">
        <v>682</v>
      </c>
      <c r="FZ17" s="370" t="s">
        <v>683</v>
      </c>
      <c r="GA17" s="370" t="s">
        <v>684</v>
      </c>
      <c r="GB17" s="370" t="s">
        <v>685</v>
      </c>
      <c r="GC17" s="370" t="s">
        <v>686</v>
      </c>
      <c r="GD17" s="370" t="s">
        <v>687</v>
      </c>
      <c r="GE17" s="370" t="s">
        <v>688</v>
      </c>
      <c r="GF17" s="370" t="s">
        <v>689</v>
      </c>
      <c r="GG17" s="370" t="s">
        <v>690</v>
      </c>
      <c r="GH17" s="370" t="s">
        <v>691</v>
      </c>
      <c r="GI17" s="370" t="s">
        <v>692</v>
      </c>
      <c r="GJ17" s="370" t="s">
        <v>693</v>
      </c>
      <c r="GK17" s="370" t="s">
        <v>694</v>
      </c>
      <c r="GL17" s="370" t="s">
        <v>695</v>
      </c>
      <c r="GM17" s="370" t="s">
        <v>696</v>
      </c>
      <c r="GN17" s="370" t="s">
        <v>697</v>
      </c>
      <c r="GO17" s="370" t="s">
        <v>698</v>
      </c>
      <c r="GP17" s="370" t="s">
        <v>699</v>
      </c>
      <c r="GQ17" s="370" t="s">
        <v>700</v>
      </c>
      <c r="GR17" s="370" t="s">
        <v>701</v>
      </c>
      <c r="GS17" s="370" t="s">
        <v>702</v>
      </c>
      <c r="GT17" s="370" t="s">
        <v>462</v>
      </c>
      <c r="GU17" s="370" t="s">
        <v>463</v>
      </c>
      <c r="GV17" s="370" t="s">
        <v>464</v>
      </c>
      <c r="GW17" s="370" t="s">
        <v>465</v>
      </c>
      <c r="GX17" s="370" t="s">
        <v>466</v>
      </c>
      <c r="GY17" s="370" t="s">
        <v>467</v>
      </c>
      <c r="GZ17" s="370" t="s">
        <v>468</v>
      </c>
      <c r="HA17" s="370" t="s">
        <v>469</v>
      </c>
      <c r="HB17" s="370" t="s">
        <v>470</v>
      </c>
      <c r="HC17" s="370" t="s">
        <v>471</v>
      </c>
      <c r="HD17" s="370" t="s">
        <v>472</v>
      </c>
      <c r="HE17" s="370" t="s">
        <v>473</v>
      </c>
      <c r="HF17" s="370" t="s">
        <v>474</v>
      </c>
      <c r="HG17" s="370" t="s">
        <v>475</v>
      </c>
      <c r="HH17" s="370" t="s">
        <v>476</v>
      </c>
      <c r="HI17" s="370" t="s">
        <v>477</v>
      </c>
      <c r="HJ17" s="370" t="s">
        <v>478</v>
      </c>
      <c r="HK17" s="370" t="s">
        <v>479</v>
      </c>
      <c r="HL17" s="370" t="s">
        <v>480</v>
      </c>
      <c r="HM17" s="370" t="s">
        <v>481</v>
      </c>
      <c r="HN17" s="370" t="s">
        <v>482</v>
      </c>
      <c r="HO17" s="370" t="s">
        <v>483</v>
      </c>
      <c r="HP17" s="370" t="s">
        <v>484</v>
      </c>
      <c r="HQ17" s="370" t="s">
        <v>485</v>
      </c>
      <c r="HR17" s="370" t="s">
        <v>486</v>
      </c>
      <c r="HS17" s="370" t="s">
        <v>487</v>
      </c>
      <c r="HT17" s="370" t="s">
        <v>488</v>
      </c>
      <c r="HU17" s="370" t="s">
        <v>489</v>
      </c>
      <c r="HV17" s="370" t="s">
        <v>490</v>
      </c>
      <c r="HW17" s="370" t="s">
        <v>491</v>
      </c>
      <c r="HX17" s="370" t="s">
        <v>492</v>
      </c>
      <c r="HY17" s="370" t="s">
        <v>493</v>
      </c>
      <c r="HZ17" s="370" t="s">
        <v>494</v>
      </c>
      <c r="IA17" s="370" t="s">
        <v>495</v>
      </c>
      <c r="IB17" s="370" t="s">
        <v>496</v>
      </c>
      <c r="IC17" s="370" t="s">
        <v>497</v>
      </c>
      <c r="ID17" s="370" t="s">
        <v>498</v>
      </c>
      <c r="IE17" s="370" t="s">
        <v>499</v>
      </c>
      <c r="IF17" s="370" t="s">
        <v>500</v>
      </c>
      <c r="IG17" s="370" t="s">
        <v>501</v>
      </c>
      <c r="IH17" s="370" t="s">
        <v>502</v>
      </c>
      <c r="II17" s="370" t="s">
        <v>503</v>
      </c>
      <c r="IJ17" s="370" t="s">
        <v>504</v>
      </c>
      <c r="IK17" s="370" t="s">
        <v>505</v>
      </c>
      <c r="IL17" s="370" t="s">
        <v>506</v>
      </c>
      <c r="IM17" s="370" t="s">
        <v>507</v>
      </c>
      <c r="IN17" s="370" t="s">
        <v>508</v>
      </c>
      <c r="IO17" s="370" t="s">
        <v>509</v>
      </c>
      <c r="IP17" s="370" t="s">
        <v>510</v>
      </c>
      <c r="IQ17" s="370" t="s">
        <v>511</v>
      </c>
      <c r="IR17" s="370" t="s">
        <v>512</v>
      </c>
      <c r="IS17" s="370" t="s">
        <v>513</v>
      </c>
      <c r="IT17" s="370" t="s">
        <v>514</v>
      </c>
      <c r="IU17" s="370" t="s">
        <v>515</v>
      </c>
      <c r="IV17" s="370" t="s">
        <v>516</v>
      </c>
      <c r="IW17" s="370" t="s">
        <v>517</v>
      </c>
      <c r="IX17" s="370" t="s">
        <v>518</v>
      </c>
      <c r="IY17" s="370" t="s">
        <v>519</v>
      </c>
      <c r="IZ17" s="370" t="s">
        <v>520</v>
      </c>
      <c r="JA17" s="370" t="s">
        <v>521</v>
      </c>
      <c r="JB17" s="370" t="s">
        <v>522</v>
      </c>
      <c r="JC17" s="370" t="s">
        <v>523</v>
      </c>
      <c r="JD17" s="370" t="s">
        <v>524</v>
      </c>
      <c r="JE17" s="370" t="s">
        <v>525</v>
      </c>
      <c r="JF17" s="370" t="s">
        <v>526</v>
      </c>
      <c r="JG17" s="370" t="s">
        <v>527</v>
      </c>
      <c r="JH17" s="370" t="s">
        <v>528</v>
      </c>
      <c r="JI17" s="370" t="s">
        <v>529</v>
      </c>
      <c r="JJ17" s="370" t="s">
        <v>530</v>
      </c>
      <c r="JK17" s="370" t="s">
        <v>531</v>
      </c>
      <c r="JL17" s="370" t="s">
        <v>532</v>
      </c>
      <c r="JM17" s="370" t="s">
        <v>533</v>
      </c>
      <c r="JN17" s="370" t="s">
        <v>534</v>
      </c>
      <c r="JO17" s="370" t="s">
        <v>535</v>
      </c>
      <c r="JP17" s="370" t="s">
        <v>536</v>
      </c>
      <c r="JQ17" s="370" t="s">
        <v>537</v>
      </c>
      <c r="JR17" s="370" t="s">
        <v>538</v>
      </c>
      <c r="JS17" s="370" t="s">
        <v>539</v>
      </c>
      <c r="JT17" s="370" t="s">
        <v>540</v>
      </c>
      <c r="JU17" s="370" t="s">
        <v>541</v>
      </c>
      <c r="JV17" s="370" t="s">
        <v>542</v>
      </c>
      <c r="JW17" s="370" t="s">
        <v>543</v>
      </c>
      <c r="JX17" s="370" t="s">
        <v>544</v>
      </c>
      <c r="JY17" s="370" t="s">
        <v>545</v>
      </c>
      <c r="JZ17" s="370" t="s">
        <v>546</v>
      </c>
      <c r="KA17" s="370" t="s">
        <v>547</v>
      </c>
      <c r="KB17" s="370" t="s">
        <v>548</v>
      </c>
      <c r="KC17" s="370" t="s">
        <v>549</v>
      </c>
      <c r="KD17" s="370" t="s">
        <v>550</v>
      </c>
      <c r="KE17" s="370" t="s">
        <v>551</v>
      </c>
      <c r="KF17" s="370" t="s">
        <v>552</v>
      </c>
      <c r="KG17" s="370" t="s">
        <v>553</v>
      </c>
      <c r="KH17" s="370" t="s">
        <v>554</v>
      </c>
      <c r="KI17" s="370" t="s">
        <v>555</v>
      </c>
      <c r="KJ17" s="370" t="s">
        <v>556</v>
      </c>
      <c r="KK17" s="370" t="s">
        <v>557</v>
      </c>
      <c r="KL17" s="370" t="s">
        <v>558</v>
      </c>
      <c r="KM17" s="370" t="s">
        <v>559</v>
      </c>
      <c r="KN17" s="370" t="s">
        <v>560</v>
      </c>
      <c r="KO17" s="370" t="s">
        <v>561</v>
      </c>
      <c r="KP17" s="370" t="s">
        <v>562</v>
      </c>
      <c r="KQ17" s="370" t="s">
        <v>563</v>
      </c>
      <c r="KR17" s="370" t="s">
        <v>564</v>
      </c>
      <c r="KS17" s="370" t="s">
        <v>565</v>
      </c>
      <c r="KT17" s="370" t="s">
        <v>566</v>
      </c>
      <c r="KU17" s="370" t="s">
        <v>567</v>
      </c>
      <c r="KV17" s="370" t="s">
        <v>568</v>
      </c>
      <c r="KW17" s="370" t="s">
        <v>569</v>
      </c>
      <c r="KX17" s="370" t="s">
        <v>570</v>
      </c>
      <c r="KY17" s="370" t="s">
        <v>172</v>
      </c>
      <c r="KZ17" s="370" t="s">
        <v>173</v>
      </c>
      <c r="LA17" s="370" t="s">
        <v>174</v>
      </c>
      <c r="LB17" s="370" t="s">
        <v>175</v>
      </c>
      <c r="LC17" s="370" t="s">
        <v>176</v>
      </c>
      <c r="LD17" s="370" t="s">
        <v>177</v>
      </c>
      <c r="LE17" s="370" t="s">
        <v>178</v>
      </c>
      <c r="LF17" s="370" t="s">
        <v>179</v>
      </c>
      <c r="LG17" s="370" t="s">
        <v>180</v>
      </c>
      <c r="LH17" s="370" t="s">
        <v>181</v>
      </c>
      <c r="LI17" s="370" t="s">
        <v>182</v>
      </c>
      <c r="LJ17" s="370" t="s">
        <v>183</v>
      </c>
      <c r="LK17" s="370" t="s">
        <v>184</v>
      </c>
      <c r="LL17" s="370" t="s">
        <v>185</v>
      </c>
      <c r="LM17" s="370" t="s">
        <v>186</v>
      </c>
      <c r="LN17" s="370" t="s">
        <v>187</v>
      </c>
      <c r="LO17" s="370" t="s">
        <v>188</v>
      </c>
      <c r="LP17" s="370" t="s">
        <v>189</v>
      </c>
      <c r="LQ17" s="370" t="s">
        <v>190</v>
      </c>
      <c r="LR17" s="370" t="s">
        <v>191</v>
      </c>
      <c r="LS17" s="370" t="s">
        <v>192</v>
      </c>
      <c r="LT17" s="370" t="s">
        <v>193</v>
      </c>
      <c r="LU17" s="370" t="s">
        <v>194</v>
      </c>
      <c r="LV17" s="370" t="s">
        <v>195</v>
      </c>
      <c r="LW17" s="370" t="s">
        <v>196</v>
      </c>
      <c r="LX17" s="370" t="s">
        <v>197</v>
      </c>
      <c r="LY17" s="370" t="s">
        <v>198</v>
      </c>
      <c r="LZ17" s="370" t="s">
        <v>199</v>
      </c>
      <c r="MA17" s="370" t="s">
        <v>200</v>
      </c>
      <c r="MB17" s="370" t="s">
        <v>201</v>
      </c>
      <c r="MC17" s="370" t="s">
        <v>202</v>
      </c>
      <c r="MD17" s="370" t="s">
        <v>203</v>
      </c>
      <c r="ME17" s="370" t="s">
        <v>204</v>
      </c>
      <c r="MF17" s="370" t="s">
        <v>205</v>
      </c>
      <c r="MG17" s="370" t="s">
        <v>206</v>
      </c>
      <c r="MH17" s="370" t="s">
        <v>207</v>
      </c>
      <c r="MI17" s="370" t="s">
        <v>208</v>
      </c>
      <c r="MJ17" s="370" t="s">
        <v>209</v>
      </c>
      <c r="MK17" s="370" t="s">
        <v>210</v>
      </c>
      <c r="ML17" s="370" t="s">
        <v>211</v>
      </c>
      <c r="MM17" s="370" t="s">
        <v>212</v>
      </c>
      <c r="MN17" s="370" t="s">
        <v>213</v>
      </c>
      <c r="MO17" s="370" t="s">
        <v>214</v>
      </c>
      <c r="MP17" s="370" t="s">
        <v>215</v>
      </c>
      <c r="MQ17" s="370" t="s">
        <v>216</v>
      </c>
      <c r="MR17" s="370" t="s">
        <v>217</v>
      </c>
      <c r="MS17" s="370" t="s">
        <v>218</v>
      </c>
      <c r="MT17" s="370" t="s">
        <v>219</v>
      </c>
      <c r="MU17" s="370" t="s">
        <v>220</v>
      </c>
      <c r="MV17" s="370" t="s">
        <v>221</v>
      </c>
      <c r="MW17" s="370" t="s">
        <v>222</v>
      </c>
      <c r="MX17" s="370" t="s">
        <v>223</v>
      </c>
      <c r="MY17" s="370" t="s">
        <v>224</v>
      </c>
      <c r="MZ17" s="370" t="s">
        <v>225</v>
      </c>
      <c r="NA17" s="370" t="s">
        <v>226</v>
      </c>
      <c r="NB17" s="370" t="s">
        <v>227</v>
      </c>
      <c r="NC17" s="370" t="s">
        <v>228</v>
      </c>
      <c r="ND17" s="370" t="s">
        <v>229</v>
      </c>
      <c r="NE17" s="370" t="s">
        <v>230</v>
      </c>
      <c r="NF17" s="370" t="s">
        <v>231</v>
      </c>
      <c r="NG17" s="370" t="s">
        <v>232</v>
      </c>
      <c r="NH17" s="370" t="s">
        <v>233</v>
      </c>
      <c r="NI17" s="370" t="s">
        <v>234</v>
      </c>
      <c r="NJ17" s="370" t="s">
        <v>235</v>
      </c>
      <c r="NK17" s="370" t="s">
        <v>236</v>
      </c>
      <c r="NL17" s="370" t="s">
        <v>237</v>
      </c>
      <c r="NM17" s="370" t="s">
        <v>238</v>
      </c>
      <c r="NN17" s="370" t="s">
        <v>239</v>
      </c>
      <c r="NO17" s="370" t="s">
        <v>240</v>
      </c>
      <c r="NP17" s="370" t="s">
        <v>241</v>
      </c>
      <c r="NQ17" s="370" t="s">
        <v>242</v>
      </c>
      <c r="NR17" s="370" t="s">
        <v>243</v>
      </c>
      <c r="NS17" s="370" t="s">
        <v>244</v>
      </c>
      <c r="NT17" s="370" t="s">
        <v>245</v>
      </c>
      <c r="NU17" s="370" t="s">
        <v>246</v>
      </c>
      <c r="NV17" s="370" t="s">
        <v>247</v>
      </c>
      <c r="NW17" s="370" t="s">
        <v>248</v>
      </c>
      <c r="NX17" s="370" t="s">
        <v>249</v>
      </c>
      <c r="NY17" s="370" t="s">
        <v>250</v>
      </c>
      <c r="NZ17" s="370" t="s">
        <v>251</v>
      </c>
      <c r="OA17" s="370" t="s">
        <v>252</v>
      </c>
      <c r="OB17" s="370" t="s">
        <v>253</v>
      </c>
      <c r="OC17" s="370" t="s">
        <v>254</v>
      </c>
      <c r="OD17" s="370" t="s">
        <v>255</v>
      </c>
      <c r="OE17" s="370" t="s">
        <v>256</v>
      </c>
      <c r="OF17" s="370" t="s">
        <v>257</v>
      </c>
      <c r="OG17" s="370" t="s">
        <v>258</v>
      </c>
      <c r="OH17" s="370" t="s">
        <v>259</v>
      </c>
      <c r="OI17" s="370" t="s">
        <v>260</v>
      </c>
      <c r="OJ17" s="370" t="s">
        <v>261</v>
      </c>
      <c r="OK17" s="370" t="s">
        <v>262</v>
      </c>
      <c r="OL17" s="370" t="s">
        <v>263</v>
      </c>
      <c r="OM17" s="370" t="s">
        <v>264</v>
      </c>
      <c r="ON17" s="370" t="s">
        <v>265</v>
      </c>
      <c r="OO17" s="370" t="s">
        <v>266</v>
      </c>
      <c r="OP17" s="370" t="s">
        <v>267</v>
      </c>
      <c r="OQ17" s="370" t="s">
        <v>268</v>
      </c>
      <c r="OR17" s="370" t="s">
        <v>269</v>
      </c>
      <c r="OS17" s="370" t="s">
        <v>270</v>
      </c>
      <c r="OT17" s="370" t="s">
        <v>271</v>
      </c>
      <c r="OU17" s="370" t="s">
        <v>272</v>
      </c>
      <c r="OV17" s="370" t="s">
        <v>273</v>
      </c>
      <c r="OW17" s="370" t="s">
        <v>274</v>
      </c>
      <c r="OX17" s="370" t="s">
        <v>275</v>
      </c>
      <c r="OY17" s="370" t="s">
        <v>276</v>
      </c>
      <c r="OZ17" s="370" t="s">
        <v>277</v>
      </c>
      <c r="PA17" s="370" t="s">
        <v>278</v>
      </c>
      <c r="PB17" s="370" t="s">
        <v>279</v>
      </c>
      <c r="PC17" s="370" t="s">
        <v>280</v>
      </c>
      <c r="PD17" s="370" t="s">
        <v>281</v>
      </c>
      <c r="PE17" s="370" t="s">
        <v>282</v>
      </c>
      <c r="PF17" s="370" t="s">
        <v>283</v>
      </c>
      <c r="PG17" s="370" t="s">
        <v>284</v>
      </c>
      <c r="PH17" s="370" t="s">
        <v>285</v>
      </c>
      <c r="PI17" s="370" t="s">
        <v>286</v>
      </c>
      <c r="PJ17" s="370" t="s">
        <v>287</v>
      </c>
      <c r="PK17" s="370" t="s">
        <v>288</v>
      </c>
      <c r="PL17" s="370" t="s">
        <v>289</v>
      </c>
      <c r="PM17" s="370" t="s">
        <v>290</v>
      </c>
      <c r="PN17" s="370" t="s">
        <v>291</v>
      </c>
      <c r="PO17" s="370" t="s">
        <v>292</v>
      </c>
      <c r="PP17" s="370" t="s">
        <v>293</v>
      </c>
      <c r="PQ17" s="370" t="s">
        <v>294</v>
      </c>
      <c r="PR17" s="370" t="s">
        <v>295</v>
      </c>
      <c r="PS17" s="370" t="s">
        <v>296</v>
      </c>
      <c r="PT17" s="370" t="s">
        <v>297</v>
      </c>
      <c r="PU17" s="370" t="s">
        <v>298</v>
      </c>
      <c r="PV17" s="370" t="s">
        <v>299</v>
      </c>
      <c r="PW17" s="370" t="s">
        <v>300</v>
      </c>
      <c r="PX17" s="370" t="s">
        <v>301</v>
      </c>
      <c r="PY17" s="370" t="s">
        <v>302</v>
      </c>
      <c r="PZ17" s="370" t="s">
        <v>303</v>
      </c>
      <c r="QA17" s="370" t="s">
        <v>304</v>
      </c>
      <c r="QB17" s="370" t="s">
        <v>305</v>
      </c>
      <c r="QC17" s="370" t="s">
        <v>306</v>
      </c>
      <c r="QD17" s="370" t="s">
        <v>307</v>
      </c>
      <c r="QE17" s="370" t="s">
        <v>308</v>
      </c>
      <c r="QF17" s="370" t="s">
        <v>309</v>
      </c>
      <c r="QG17" s="370" t="s">
        <v>310</v>
      </c>
      <c r="QH17" s="370" t="s">
        <v>311</v>
      </c>
      <c r="QI17" s="370" t="s">
        <v>312</v>
      </c>
      <c r="QJ17" s="370" t="s">
        <v>313</v>
      </c>
      <c r="QK17" s="370" t="s">
        <v>314</v>
      </c>
      <c r="QL17" s="370" t="s">
        <v>315</v>
      </c>
      <c r="QM17" s="370" t="s">
        <v>316</v>
      </c>
      <c r="QN17" s="370" t="s">
        <v>317</v>
      </c>
      <c r="QO17" s="370" t="s">
        <v>318</v>
      </c>
      <c r="QP17" s="370" t="s">
        <v>319</v>
      </c>
      <c r="QQ17" s="370" t="s">
        <v>320</v>
      </c>
      <c r="QR17" s="370" t="s">
        <v>321</v>
      </c>
      <c r="QS17" s="370" t="s">
        <v>322</v>
      </c>
      <c r="QT17" s="370" t="s">
        <v>323</v>
      </c>
      <c r="QU17" s="370" t="s">
        <v>324</v>
      </c>
      <c r="QV17" s="370" t="s">
        <v>325</v>
      </c>
      <c r="QW17" s="370" t="s">
        <v>326</v>
      </c>
      <c r="QX17" s="370" t="s">
        <v>327</v>
      </c>
      <c r="QY17" s="370" t="s">
        <v>328</v>
      </c>
      <c r="QZ17" s="370" t="s">
        <v>329</v>
      </c>
      <c r="RA17" s="370" t="s">
        <v>330</v>
      </c>
      <c r="RB17" s="370" t="s">
        <v>331</v>
      </c>
      <c r="RC17" s="370" t="s">
        <v>332</v>
      </c>
      <c r="RD17" s="370" t="s">
        <v>333</v>
      </c>
      <c r="RE17" s="370" t="s">
        <v>334</v>
      </c>
      <c r="RF17" s="370" t="s">
        <v>335</v>
      </c>
      <c r="RG17" s="370" t="s">
        <v>336</v>
      </c>
      <c r="RH17" s="370" t="s">
        <v>337</v>
      </c>
      <c r="RI17" s="370" t="s">
        <v>338</v>
      </c>
      <c r="RJ17" s="370" t="s">
        <v>339</v>
      </c>
      <c r="RK17" s="370" t="s">
        <v>340</v>
      </c>
      <c r="RL17" s="370" t="s">
        <v>341</v>
      </c>
      <c r="RM17" s="370" t="s">
        <v>342</v>
      </c>
      <c r="RN17" s="370" t="s">
        <v>343</v>
      </c>
      <c r="RO17" s="370" t="s">
        <v>344</v>
      </c>
      <c r="RP17" s="370" t="s">
        <v>345</v>
      </c>
      <c r="RQ17" s="370" t="s">
        <v>346</v>
      </c>
      <c r="RR17" s="370" t="s">
        <v>347</v>
      </c>
      <c r="RS17" s="370" t="s">
        <v>348</v>
      </c>
      <c r="RT17" s="370" t="s">
        <v>349</v>
      </c>
      <c r="RU17" s="370" t="s">
        <v>350</v>
      </c>
      <c r="RV17" s="370" t="s">
        <v>351</v>
      </c>
      <c r="RW17" s="370" t="s">
        <v>352</v>
      </c>
      <c r="RX17" s="370" t="s">
        <v>353</v>
      </c>
      <c r="RY17" s="370" t="s">
        <v>354</v>
      </c>
      <c r="RZ17" s="370" t="s">
        <v>355</v>
      </c>
      <c r="SA17" s="370" t="s">
        <v>356</v>
      </c>
      <c r="SB17" s="370" t="s">
        <v>357</v>
      </c>
      <c r="SC17" s="370" t="s">
        <v>358</v>
      </c>
      <c r="SD17" s="370" t="s">
        <v>359</v>
      </c>
      <c r="SE17" s="370" t="s">
        <v>360</v>
      </c>
      <c r="SF17" s="370" t="s">
        <v>361</v>
      </c>
      <c r="SG17" s="370" t="s">
        <v>362</v>
      </c>
      <c r="SH17" s="370" t="s">
        <v>363</v>
      </c>
      <c r="SI17" s="370" t="s">
        <v>364</v>
      </c>
      <c r="SJ17" s="370" t="s">
        <v>365</v>
      </c>
      <c r="SK17" s="370" t="s">
        <v>366</v>
      </c>
      <c r="SL17" s="370" t="s">
        <v>367</v>
      </c>
      <c r="SM17" s="370" t="s">
        <v>368</v>
      </c>
      <c r="SN17" s="370" t="s">
        <v>369</v>
      </c>
      <c r="SO17" s="370" t="s">
        <v>370</v>
      </c>
      <c r="SP17" s="370" t="s">
        <v>371</v>
      </c>
      <c r="SQ17" s="370" t="s">
        <v>372</v>
      </c>
      <c r="SR17" s="370" t="s">
        <v>373</v>
      </c>
      <c r="SS17" s="370" t="s">
        <v>374</v>
      </c>
      <c r="ST17" s="370" t="s">
        <v>375</v>
      </c>
      <c r="SU17" s="370" t="s">
        <v>376</v>
      </c>
      <c r="SV17" s="370" t="s">
        <v>377</v>
      </c>
      <c r="SW17" s="370" t="s">
        <v>378</v>
      </c>
      <c r="SX17" s="370" t="s">
        <v>379</v>
      </c>
      <c r="SY17" s="370" t="s">
        <v>380</v>
      </c>
      <c r="SZ17" s="370" t="s">
        <v>381</v>
      </c>
      <c r="TA17" s="370" t="s">
        <v>382</v>
      </c>
      <c r="TB17" s="370" t="s">
        <v>383</v>
      </c>
      <c r="TC17" s="370" t="s">
        <v>384</v>
      </c>
      <c r="TD17" s="370" t="s">
        <v>385</v>
      </c>
      <c r="TE17" s="370" t="s">
        <v>386</v>
      </c>
      <c r="TF17" s="370" t="s">
        <v>387</v>
      </c>
      <c r="TG17" s="370" t="s">
        <v>388</v>
      </c>
      <c r="TH17" s="370" t="s">
        <v>389</v>
      </c>
      <c r="TI17" s="370" t="s">
        <v>390</v>
      </c>
      <c r="TJ17" s="370" t="s">
        <v>391</v>
      </c>
      <c r="TK17" s="370" t="s">
        <v>392</v>
      </c>
      <c r="TL17" s="370" t="s">
        <v>393</v>
      </c>
      <c r="TM17" s="370" t="s">
        <v>394</v>
      </c>
      <c r="TN17" s="370" t="s">
        <v>395</v>
      </c>
      <c r="TO17" s="370" t="s">
        <v>396</v>
      </c>
      <c r="TP17" s="370" t="s">
        <v>397</v>
      </c>
      <c r="TQ17" s="370" t="s">
        <v>398</v>
      </c>
      <c r="TR17" s="370" t="s">
        <v>399</v>
      </c>
      <c r="TS17" s="370" t="s">
        <v>400</v>
      </c>
      <c r="TT17" s="370" t="s">
        <v>401</v>
      </c>
      <c r="TU17" s="370" t="s">
        <v>402</v>
      </c>
      <c r="TV17" s="370" t="s">
        <v>403</v>
      </c>
      <c r="TW17" s="370" t="s">
        <v>404</v>
      </c>
      <c r="TX17" s="370" t="s">
        <v>405</v>
      </c>
      <c r="TY17" s="370" t="s">
        <v>406</v>
      </c>
      <c r="TZ17" s="370" t="s">
        <v>407</v>
      </c>
      <c r="UA17" s="370" t="s">
        <v>408</v>
      </c>
      <c r="UB17" s="370" t="s">
        <v>409</v>
      </c>
      <c r="UC17" s="370" t="s">
        <v>410</v>
      </c>
      <c r="UD17" s="370" t="s">
        <v>411</v>
      </c>
      <c r="UE17" s="370" t="s">
        <v>412</v>
      </c>
      <c r="UF17" s="370" t="s">
        <v>413</v>
      </c>
      <c r="UG17" s="370" t="s">
        <v>414</v>
      </c>
      <c r="UH17" s="370" t="s">
        <v>415</v>
      </c>
      <c r="UI17" s="370" t="s">
        <v>416</v>
      </c>
      <c r="UJ17" s="370" t="s">
        <v>417</v>
      </c>
      <c r="UK17" s="370" t="s">
        <v>418</v>
      </c>
      <c r="UL17" s="370" t="s">
        <v>419</v>
      </c>
      <c r="UM17" s="370" t="s">
        <v>420</v>
      </c>
      <c r="UN17" s="370" t="s">
        <v>421</v>
      </c>
      <c r="UO17" s="370" t="s">
        <v>422</v>
      </c>
      <c r="UP17" s="370" t="s">
        <v>423</v>
      </c>
      <c r="UQ17" s="370" t="s">
        <v>424</v>
      </c>
      <c r="UR17" s="370" t="s">
        <v>425</v>
      </c>
      <c r="US17" s="370" t="s">
        <v>426</v>
      </c>
      <c r="UT17" s="370" t="s">
        <v>427</v>
      </c>
      <c r="UU17" s="370" t="s">
        <v>428</v>
      </c>
      <c r="UV17" s="370" t="s">
        <v>429</v>
      </c>
      <c r="UW17" s="370" t="s">
        <v>430</v>
      </c>
      <c r="UX17" s="370" t="s">
        <v>431</v>
      </c>
      <c r="UY17" s="370" t="s">
        <v>432</v>
      </c>
      <c r="UZ17" s="370" t="s">
        <v>433</v>
      </c>
      <c r="VA17" s="370" t="s">
        <v>434</v>
      </c>
      <c r="VB17" s="370" t="s">
        <v>435</v>
      </c>
      <c r="VC17" s="370" t="s">
        <v>436</v>
      </c>
      <c r="VD17" s="370" t="s">
        <v>437</v>
      </c>
      <c r="VE17" s="370" t="s">
        <v>438</v>
      </c>
      <c r="VF17" s="370" t="s">
        <v>439</v>
      </c>
      <c r="VG17" s="370" t="s">
        <v>440</v>
      </c>
      <c r="VH17" s="370" t="s">
        <v>441</v>
      </c>
      <c r="VI17" s="370" t="s">
        <v>442</v>
      </c>
      <c r="VJ17" s="370" t="s">
        <v>443</v>
      </c>
      <c r="VK17" s="370" t="s">
        <v>444</v>
      </c>
      <c r="VL17" s="370" t="s">
        <v>445</v>
      </c>
      <c r="VM17" s="370" t="s">
        <v>446</v>
      </c>
      <c r="VN17" s="370" t="s">
        <v>447</v>
      </c>
      <c r="VO17" s="370" t="s">
        <v>448</v>
      </c>
      <c r="VP17" s="370" t="s">
        <v>449</v>
      </c>
      <c r="VQ17" s="370" t="s">
        <v>450</v>
      </c>
      <c r="VR17" s="370" t="s">
        <v>451</v>
      </c>
      <c r="VS17" s="370" t="s">
        <v>452</v>
      </c>
      <c r="VT17" s="370" t="s">
        <v>453</v>
      </c>
      <c r="VU17" s="370" t="s">
        <v>454</v>
      </c>
      <c r="VV17" s="370" t="s">
        <v>455</v>
      </c>
      <c r="VW17" s="370" t="s">
        <v>456</v>
      </c>
      <c r="VX17" s="370" t="s">
        <v>457</v>
      </c>
      <c r="VY17" s="370" t="s">
        <v>458</v>
      </c>
      <c r="VZ17" s="370" t="s">
        <v>459</v>
      </c>
      <c r="WA17" s="370" t="s">
        <v>460</v>
      </c>
      <c r="WB17" s="370" t="s">
        <v>461</v>
      </c>
    </row>
    <row r="18" spans="1:600" s="370" customFormat="1" ht="18" customHeight="1" thickBot="1" x14ac:dyDescent="0.25">
      <c r="A18" s="394">
        <v>-1.7466530135157696</v>
      </c>
      <c r="B18" s="351"/>
      <c r="C18" s="352"/>
      <c r="D18" s="352"/>
      <c r="E18" s="353"/>
      <c r="F18" s="354"/>
      <c r="G18" s="182"/>
      <c r="H18" s="331"/>
      <c r="I18" s="324"/>
      <c r="J18" s="324"/>
      <c r="K18" s="324"/>
      <c r="L18" s="328"/>
      <c r="M18" s="328"/>
      <c r="N18" s="332"/>
      <c r="O18" s="182"/>
      <c r="P18" s="538"/>
      <c r="Q18" s="482" t="s">
        <v>165</v>
      </c>
      <c r="R18" s="483"/>
      <c r="S18" s="397">
        <v>1.321591750266053</v>
      </c>
      <c r="T18" s="545" t="str">
        <f>IF(ISERROR(HLOOKUP(ROUND(S20*NbSimu,0),U13:XFD14,2,FALSE)), "Approximate match", "Exact match")</f>
        <v>Exact match</v>
      </c>
      <c r="U18" s="280">
        <v>1</v>
      </c>
      <c r="V18" s="280">
        <v>0</v>
      </c>
      <c r="W18" s="137">
        <v>0</v>
      </c>
      <c r="X18" s="137">
        <v>1</v>
      </c>
      <c r="Y18" s="137">
        <v>1</v>
      </c>
      <c r="Z18" s="137">
        <v>1</v>
      </c>
      <c r="AA18" s="137">
        <v>1</v>
      </c>
      <c r="AB18" s="137">
        <v>0</v>
      </c>
      <c r="AC18" s="137">
        <v>2</v>
      </c>
      <c r="AD18" s="137">
        <v>8</v>
      </c>
      <c r="AE18" s="137">
        <v>7</v>
      </c>
      <c r="AF18" s="137">
        <v>7</v>
      </c>
      <c r="AG18" s="137">
        <v>16</v>
      </c>
      <c r="AH18" s="137">
        <v>16</v>
      </c>
      <c r="AI18" s="137">
        <v>26</v>
      </c>
      <c r="AJ18" s="137">
        <v>28</v>
      </c>
      <c r="AK18" s="137">
        <v>35</v>
      </c>
      <c r="AL18" s="137">
        <v>41</v>
      </c>
      <c r="AM18" s="137">
        <v>52</v>
      </c>
      <c r="AN18" s="137">
        <v>53</v>
      </c>
      <c r="AO18" s="137">
        <v>55</v>
      </c>
      <c r="AP18" s="137">
        <v>57</v>
      </c>
      <c r="AQ18" s="137">
        <v>87</v>
      </c>
      <c r="AR18" s="137">
        <v>73</v>
      </c>
      <c r="AS18" s="137">
        <v>80</v>
      </c>
      <c r="AT18" s="137">
        <v>73</v>
      </c>
      <c r="AU18" s="137">
        <v>62</v>
      </c>
      <c r="AV18" s="137">
        <v>58</v>
      </c>
      <c r="AW18" s="137">
        <v>33</v>
      </c>
      <c r="AX18" s="137">
        <v>43</v>
      </c>
      <c r="AY18" s="137">
        <v>32</v>
      </c>
      <c r="AZ18" s="137">
        <v>16</v>
      </c>
      <c r="BA18" s="137">
        <v>15</v>
      </c>
      <c r="BB18" s="137">
        <v>7</v>
      </c>
      <c r="BC18" s="137">
        <v>8</v>
      </c>
      <c r="BD18" s="137">
        <v>2</v>
      </c>
      <c r="BE18" s="137">
        <v>2</v>
      </c>
      <c r="BF18" s="137">
        <v>0</v>
      </c>
      <c r="BG18" s="137">
        <v>0</v>
      </c>
      <c r="BH18" s="137">
        <v>0</v>
      </c>
      <c r="BI18" s="137">
        <v>1</v>
      </c>
      <c r="BJ18" s="137">
        <v>1</v>
      </c>
      <c r="BK18" s="137">
        <v>1</v>
      </c>
      <c r="BL18" s="137">
        <v>1</v>
      </c>
      <c r="BM18" s="137">
        <v>1</v>
      </c>
      <c r="BN18" s="137">
        <v>0</v>
      </c>
      <c r="BO18" s="137">
        <v>0</v>
      </c>
      <c r="BP18" s="137">
        <v>0</v>
      </c>
      <c r="BQ18" s="137">
        <v>1</v>
      </c>
      <c r="BR18" s="137">
        <v>4</v>
      </c>
      <c r="BS18" s="137">
        <v>2</v>
      </c>
      <c r="BT18" s="137">
        <v>5</v>
      </c>
      <c r="BU18" s="137">
        <v>2</v>
      </c>
      <c r="BV18" s="137">
        <v>5</v>
      </c>
      <c r="BW18" s="137">
        <v>3</v>
      </c>
      <c r="BX18" s="137">
        <v>9</v>
      </c>
      <c r="BY18" s="137">
        <v>5</v>
      </c>
      <c r="BZ18" s="137">
        <v>4</v>
      </c>
      <c r="CA18" s="137">
        <v>7</v>
      </c>
      <c r="CB18" s="137">
        <v>3</v>
      </c>
      <c r="CC18" s="137">
        <v>5</v>
      </c>
      <c r="CD18" s="137">
        <v>8</v>
      </c>
      <c r="CE18" s="137">
        <v>10</v>
      </c>
      <c r="CF18" s="137">
        <v>5</v>
      </c>
      <c r="CG18" s="137">
        <v>4</v>
      </c>
      <c r="CH18" s="137">
        <v>8</v>
      </c>
      <c r="CI18" s="137">
        <v>10</v>
      </c>
      <c r="CJ18" s="137">
        <v>7</v>
      </c>
      <c r="CK18" s="137">
        <v>4</v>
      </c>
      <c r="CL18" s="137">
        <v>7</v>
      </c>
      <c r="CM18" s="137">
        <v>9</v>
      </c>
      <c r="CN18" s="137">
        <v>7</v>
      </c>
      <c r="CO18" s="137">
        <v>11</v>
      </c>
      <c r="CP18" s="137">
        <v>8</v>
      </c>
      <c r="CQ18" s="137">
        <v>12</v>
      </c>
      <c r="CR18" s="137">
        <v>7</v>
      </c>
      <c r="CS18" s="137">
        <v>9</v>
      </c>
      <c r="CT18" s="137">
        <v>16</v>
      </c>
      <c r="CU18" s="137">
        <v>12</v>
      </c>
      <c r="CV18" s="137">
        <v>11</v>
      </c>
      <c r="CW18" s="137">
        <v>16</v>
      </c>
      <c r="CX18" s="137">
        <v>5</v>
      </c>
      <c r="CY18" s="137">
        <v>18</v>
      </c>
      <c r="CZ18" s="137">
        <v>10</v>
      </c>
      <c r="DA18" s="137">
        <v>16</v>
      </c>
      <c r="DB18" s="137">
        <v>16</v>
      </c>
      <c r="DC18" s="137">
        <v>20</v>
      </c>
      <c r="DD18" s="137">
        <v>20</v>
      </c>
      <c r="DE18" s="137">
        <v>11</v>
      </c>
      <c r="DF18" s="137">
        <v>341</v>
      </c>
      <c r="DG18" s="137">
        <v>10</v>
      </c>
      <c r="DH18" s="137">
        <v>10</v>
      </c>
      <c r="DI18" s="137">
        <v>16</v>
      </c>
      <c r="DJ18" s="137">
        <v>3</v>
      </c>
      <c r="DK18" s="137">
        <v>6</v>
      </c>
      <c r="DL18" s="137">
        <v>10</v>
      </c>
      <c r="DM18" s="137">
        <v>18</v>
      </c>
      <c r="DN18" s="137">
        <v>8</v>
      </c>
      <c r="DO18" s="137">
        <v>14</v>
      </c>
      <c r="DP18" s="137">
        <v>7</v>
      </c>
      <c r="DQ18" s="137">
        <v>11</v>
      </c>
      <c r="DR18" s="370">
        <v>7</v>
      </c>
      <c r="DS18" s="370">
        <v>12</v>
      </c>
      <c r="DT18" s="370">
        <v>10</v>
      </c>
      <c r="DU18" s="370">
        <v>7</v>
      </c>
      <c r="DV18" s="370">
        <v>5</v>
      </c>
      <c r="DW18" s="370">
        <v>7</v>
      </c>
      <c r="DX18" s="370">
        <v>8</v>
      </c>
      <c r="DY18" s="370">
        <v>6</v>
      </c>
      <c r="DZ18" s="370">
        <v>8</v>
      </c>
      <c r="EA18" s="370">
        <v>2</v>
      </c>
      <c r="EB18" s="370">
        <v>0</v>
      </c>
      <c r="EC18" s="370">
        <v>4</v>
      </c>
      <c r="ED18" s="370">
        <v>7</v>
      </c>
      <c r="EE18" s="370">
        <v>5</v>
      </c>
      <c r="EF18" s="370">
        <v>3</v>
      </c>
      <c r="EG18" s="370">
        <v>3</v>
      </c>
      <c r="EH18" s="370">
        <v>3</v>
      </c>
      <c r="EI18" s="370">
        <v>3</v>
      </c>
      <c r="EJ18" s="370">
        <v>2</v>
      </c>
      <c r="EK18" s="370">
        <v>2</v>
      </c>
      <c r="EL18" s="370">
        <v>1</v>
      </c>
      <c r="EM18" s="370">
        <v>2</v>
      </c>
      <c r="EN18" s="370">
        <v>3</v>
      </c>
      <c r="EO18" s="370">
        <v>2</v>
      </c>
      <c r="EP18" s="370">
        <v>2</v>
      </c>
      <c r="EQ18" s="370">
        <v>1</v>
      </c>
      <c r="ER18" s="370">
        <v>1</v>
      </c>
      <c r="ES18" s="370">
        <v>0</v>
      </c>
      <c r="ET18" s="370">
        <v>3</v>
      </c>
      <c r="EU18" s="370">
        <v>2</v>
      </c>
      <c r="EV18" s="370">
        <v>3</v>
      </c>
      <c r="EW18" s="370">
        <v>1</v>
      </c>
      <c r="EX18" s="370">
        <v>2</v>
      </c>
      <c r="EY18" s="370">
        <v>4</v>
      </c>
      <c r="EZ18" s="370">
        <v>0</v>
      </c>
      <c r="FA18" s="370">
        <v>0</v>
      </c>
      <c r="FB18" s="370">
        <v>1</v>
      </c>
      <c r="FC18" s="370">
        <v>1</v>
      </c>
      <c r="FD18" s="370">
        <v>0</v>
      </c>
      <c r="FE18" s="370">
        <v>0</v>
      </c>
      <c r="FF18" s="370">
        <v>1</v>
      </c>
      <c r="FG18" s="370">
        <v>1</v>
      </c>
      <c r="FH18" s="370">
        <v>2</v>
      </c>
      <c r="FI18" s="370">
        <v>0</v>
      </c>
      <c r="FJ18" s="370">
        <v>2</v>
      </c>
      <c r="FK18" s="370">
        <v>0</v>
      </c>
      <c r="FL18" s="370">
        <v>0</v>
      </c>
      <c r="FM18" s="370">
        <v>0</v>
      </c>
      <c r="FN18" s="370">
        <v>0</v>
      </c>
      <c r="FO18" s="370">
        <v>0</v>
      </c>
      <c r="FP18" s="370">
        <v>0</v>
      </c>
      <c r="FQ18" s="370">
        <v>1</v>
      </c>
      <c r="FR18" s="370">
        <v>0</v>
      </c>
      <c r="FS18" s="370">
        <v>0</v>
      </c>
      <c r="FT18" s="370">
        <v>0</v>
      </c>
      <c r="FU18" s="370">
        <v>0</v>
      </c>
      <c r="FV18" s="370">
        <v>1</v>
      </c>
      <c r="FW18" s="370">
        <v>0</v>
      </c>
      <c r="FX18" s="370">
        <v>0</v>
      </c>
      <c r="FY18" s="370">
        <v>1</v>
      </c>
      <c r="FZ18" s="370">
        <v>0</v>
      </c>
      <c r="GA18" s="370">
        <v>1</v>
      </c>
      <c r="GB18" s="370">
        <v>0</v>
      </c>
      <c r="GC18" s="370">
        <v>0</v>
      </c>
      <c r="GD18" s="370">
        <v>0</v>
      </c>
      <c r="GE18" s="370">
        <v>0</v>
      </c>
      <c r="GF18" s="370">
        <v>0</v>
      </c>
      <c r="GG18" s="370">
        <v>0</v>
      </c>
      <c r="GH18" s="370">
        <v>0</v>
      </c>
      <c r="GI18" s="370">
        <v>0</v>
      </c>
      <c r="GJ18" s="370">
        <v>0</v>
      </c>
      <c r="GK18" s="370">
        <v>0</v>
      </c>
      <c r="GL18" s="370">
        <v>0</v>
      </c>
      <c r="GM18" s="370">
        <v>0</v>
      </c>
      <c r="GN18" s="370">
        <v>0</v>
      </c>
      <c r="GO18" s="370">
        <v>0</v>
      </c>
      <c r="GP18" s="370">
        <v>0</v>
      </c>
      <c r="GQ18" s="370">
        <v>0</v>
      </c>
      <c r="GR18" s="370">
        <v>0</v>
      </c>
      <c r="GS18" s="370">
        <v>1</v>
      </c>
      <c r="GT18" s="370">
        <v>0</v>
      </c>
      <c r="GU18" s="370">
        <v>0</v>
      </c>
      <c r="GV18" s="370">
        <v>0</v>
      </c>
      <c r="GW18" s="370">
        <v>2</v>
      </c>
      <c r="GX18" s="370">
        <v>2</v>
      </c>
      <c r="GY18" s="370">
        <v>2</v>
      </c>
      <c r="GZ18" s="370">
        <v>0</v>
      </c>
      <c r="HA18" s="370">
        <v>2</v>
      </c>
      <c r="HB18" s="370">
        <v>0</v>
      </c>
      <c r="HC18" s="370">
        <v>1</v>
      </c>
      <c r="HD18" s="370">
        <v>0</v>
      </c>
      <c r="HE18" s="370">
        <v>0</v>
      </c>
      <c r="HF18" s="370">
        <v>2</v>
      </c>
      <c r="HG18" s="370">
        <v>2</v>
      </c>
      <c r="HH18" s="370">
        <v>1</v>
      </c>
      <c r="HI18" s="370">
        <v>0</v>
      </c>
      <c r="HJ18" s="370">
        <v>1</v>
      </c>
      <c r="HK18" s="370">
        <v>0</v>
      </c>
      <c r="HL18" s="370">
        <v>1</v>
      </c>
      <c r="HM18" s="370">
        <v>0</v>
      </c>
      <c r="HN18" s="370">
        <v>0</v>
      </c>
      <c r="HO18" s="370">
        <v>0</v>
      </c>
      <c r="HP18" s="370">
        <v>0</v>
      </c>
      <c r="HQ18" s="370">
        <v>0</v>
      </c>
      <c r="HR18" s="370">
        <v>0</v>
      </c>
      <c r="HS18" s="370">
        <v>0</v>
      </c>
      <c r="HT18" s="370">
        <v>0</v>
      </c>
      <c r="HU18" s="370">
        <v>1</v>
      </c>
      <c r="HV18" s="370">
        <v>0</v>
      </c>
      <c r="HW18" s="370">
        <v>0</v>
      </c>
      <c r="HX18" s="370">
        <v>0</v>
      </c>
      <c r="HY18" s="370">
        <v>2</v>
      </c>
      <c r="HZ18" s="370">
        <v>0</v>
      </c>
      <c r="IA18" s="370">
        <v>1</v>
      </c>
      <c r="IB18" s="370">
        <v>0</v>
      </c>
      <c r="IC18" s="370">
        <v>0</v>
      </c>
      <c r="ID18" s="370">
        <v>0</v>
      </c>
      <c r="IE18" s="370">
        <v>0</v>
      </c>
      <c r="IF18" s="370">
        <v>1</v>
      </c>
      <c r="IG18" s="370">
        <v>0</v>
      </c>
      <c r="IH18" s="370">
        <v>0</v>
      </c>
      <c r="II18" s="370">
        <v>0</v>
      </c>
      <c r="IJ18" s="370">
        <v>0</v>
      </c>
      <c r="IK18" s="370">
        <v>1</v>
      </c>
      <c r="IL18" s="370">
        <v>0</v>
      </c>
      <c r="IM18" s="370">
        <v>0</v>
      </c>
      <c r="IN18" s="370">
        <v>0</v>
      </c>
      <c r="IO18" s="370">
        <v>0</v>
      </c>
      <c r="IP18" s="370">
        <v>0</v>
      </c>
      <c r="IQ18" s="370">
        <v>0</v>
      </c>
      <c r="IR18" s="370">
        <v>0</v>
      </c>
      <c r="IS18" s="370">
        <v>0</v>
      </c>
      <c r="IT18" s="370">
        <v>0</v>
      </c>
      <c r="IU18" s="370">
        <v>0</v>
      </c>
      <c r="IV18" s="370">
        <v>0</v>
      </c>
      <c r="IW18" s="370">
        <v>0</v>
      </c>
      <c r="IX18" s="370">
        <v>0</v>
      </c>
      <c r="IY18" s="370">
        <v>0</v>
      </c>
      <c r="IZ18" s="370">
        <v>0</v>
      </c>
      <c r="JA18" s="370">
        <v>0</v>
      </c>
      <c r="JB18" s="370">
        <v>0</v>
      </c>
      <c r="JC18" s="370">
        <v>0</v>
      </c>
      <c r="JD18" s="370">
        <v>1</v>
      </c>
      <c r="JE18" s="370">
        <v>1</v>
      </c>
      <c r="JF18" s="370">
        <v>0</v>
      </c>
      <c r="JG18" s="370">
        <v>0</v>
      </c>
      <c r="JH18" s="370">
        <v>0</v>
      </c>
      <c r="JI18" s="370">
        <v>0</v>
      </c>
      <c r="JJ18" s="370">
        <v>0</v>
      </c>
      <c r="JK18" s="370">
        <v>0</v>
      </c>
      <c r="JL18" s="370">
        <v>0</v>
      </c>
      <c r="JM18" s="370">
        <v>0</v>
      </c>
      <c r="JN18" s="370">
        <v>0</v>
      </c>
      <c r="JO18" s="370">
        <v>0</v>
      </c>
      <c r="JP18" s="370">
        <v>0</v>
      </c>
      <c r="JQ18" s="370">
        <v>0</v>
      </c>
      <c r="JR18" s="370">
        <v>0</v>
      </c>
      <c r="JS18" s="370">
        <v>0</v>
      </c>
      <c r="JT18" s="370">
        <v>0</v>
      </c>
      <c r="JU18" s="370">
        <v>0</v>
      </c>
      <c r="JV18" s="370">
        <v>0</v>
      </c>
      <c r="JW18" s="370">
        <v>0</v>
      </c>
      <c r="JX18" s="370">
        <v>0</v>
      </c>
      <c r="JY18" s="370">
        <v>0</v>
      </c>
      <c r="JZ18" s="370">
        <v>0</v>
      </c>
      <c r="KA18" s="370">
        <v>0</v>
      </c>
      <c r="KB18" s="370">
        <v>0</v>
      </c>
      <c r="KC18" s="370">
        <v>0</v>
      </c>
      <c r="KD18" s="370">
        <v>0</v>
      </c>
      <c r="KE18" s="370">
        <v>0</v>
      </c>
      <c r="KF18" s="370">
        <v>0</v>
      </c>
      <c r="KG18" s="370">
        <v>0</v>
      </c>
      <c r="KH18" s="370">
        <v>0</v>
      </c>
      <c r="KI18" s="370">
        <v>0</v>
      </c>
      <c r="KJ18" s="370">
        <v>0</v>
      </c>
      <c r="KK18" s="370">
        <v>0</v>
      </c>
      <c r="KL18" s="370">
        <v>0</v>
      </c>
      <c r="KM18" s="370">
        <v>0</v>
      </c>
      <c r="KN18" s="370">
        <v>0</v>
      </c>
      <c r="KO18" s="370">
        <v>0</v>
      </c>
      <c r="KP18" s="370">
        <v>0</v>
      </c>
      <c r="KQ18" s="370">
        <v>0</v>
      </c>
      <c r="KR18" s="370">
        <v>0</v>
      </c>
      <c r="KS18" s="370">
        <v>0</v>
      </c>
      <c r="KT18" s="370">
        <v>0</v>
      </c>
      <c r="KU18" s="370">
        <v>0</v>
      </c>
      <c r="KV18" s="370">
        <v>0</v>
      </c>
      <c r="KW18" s="370">
        <v>0</v>
      </c>
      <c r="KX18" s="370">
        <v>1</v>
      </c>
      <c r="KY18" s="370">
        <v>0</v>
      </c>
      <c r="KZ18" s="370">
        <v>0</v>
      </c>
      <c r="LA18" s="370">
        <v>1</v>
      </c>
      <c r="LB18" s="370">
        <v>0</v>
      </c>
      <c r="LC18" s="370">
        <v>0</v>
      </c>
      <c r="LD18" s="370">
        <v>0</v>
      </c>
      <c r="LE18" s="370">
        <v>3</v>
      </c>
      <c r="LF18" s="370">
        <v>1</v>
      </c>
      <c r="LG18" s="370">
        <v>0</v>
      </c>
      <c r="LH18" s="370">
        <v>0</v>
      </c>
      <c r="LI18" s="370">
        <v>0</v>
      </c>
      <c r="LJ18" s="370">
        <v>0</v>
      </c>
      <c r="LK18" s="370">
        <v>1</v>
      </c>
      <c r="LL18" s="370">
        <v>1</v>
      </c>
      <c r="LM18" s="370">
        <v>3</v>
      </c>
      <c r="LN18" s="370">
        <v>0</v>
      </c>
      <c r="LO18" s="370">
        <v>1</v>
      </c>
      <c r="LP18" s="370">
        <v>0</v>
      </c>
      <c r="LQ18" s="370">
        <v>0</v>
      </c>
      <c r="LR18" s="370">
        <v>1</v>
      </c>
      <c r="LS18" s="370">
        <v>1</v>
      </c>
      <c r="LT18" s="370">
        <v>1</v>
      </c>
      <c r="LU18" s="370">
        <v>0</v>
      </c>
      <c r="LV18" s="370">
        <v>0</v>
      </c>
      <c r="LW18" s="370">
        <v>1</v>
      </c>
      <c r="LX18" s="370">
        <v>1</v>
      </c>
      <c r="LY18" s="370">
        <v>1</v>
      </c>
      <c r="LZ18" s="370">
        <v>0</v>
      </c>
      <c r="MA18" s="370">
        <v>0</v>
      </c>
      <c r="MB18" s="370">
        <v>0</v>
      </c>
      <c r="MC18" s="370">
        <v>1</v>
      </c>
      <c r="MD18" s="370">
        <v>1</v>
      </c>
      <c r="ME18" s="370">
        <v>1</v>
      </c>
      <c r="MF18" s="370">
        <v>1</v>
      </c>
      <c r="MG18" s="370">
        <v>0</v>
      </c>
      <c r="MH18" s="370">
        <v>1</v>
      </c>
      <c r="MI18" s="370">
        <v>0</v>
      </c>
      <c r="MJ18" s="370">
        <v>1</v>
      </c>
      <c r="MK18" s="370">
        <v>0</v>
      </c>
      <c r="ML18" s="370">
        <v>1</v>
      </c>
      <c r="MM18" s="370">
        <v>1</v>
      </c>
      <c r="MN18" s="370">
        <v>1</v>
      </c>
      <c r="MO18" s="370">
        <v>1</v>
      </c>
      <c r="MP18" s="370">
        <v>1</v>
      </c>
      <c r="MQ18" s="370">
        <v>0</v>
      </c>
      <c r="MR18" s="370">
        <v>0</v>
      </c>
      <c r="MS18" s="370">
        <v>0</v>
      </c>
      <c r="MT18" s="370">
        <v>0</v>
      </c>
      <c r="MU18" s="370">
        <v>0</v>
      </c>
      <c r="MV18" s="370">
        <v>1</v>
      </c>
      <c r="MW18" s="370">
        <v>0</v>
      </c>
      <c r="MX18" s="370">
        <v>0</v>
      </c>
      <c r="MY18" s="370">
        <v>1</v>
      </c>
      <c r="MZ18" s="370">
        <v>0</v>
      </c>
      <c r="NA18" s="370">
        <v>0</v>
      </c>
      <c r="NB18" s="370">
        <v>2</v>
      </c>
      <c r="NC18" s="370">
        <v>0</v>
      </c>
      <c r="ND18" s="370">
        <v>0</v>
      </c>
      <c r="NE18" s="370">
        <v>1</v>
      </c>
      <c r="NF18" s="370">
        <v>0</v>
      </c>
      <c r="NG18" s="370">
        <v>1</v>
      </c>
      <c r="NH18" s="370">
        <v>2</v>
      </c>
      <c r="NI18" s="370">
        <v>0</v>
      </c>
      <c r="NJ18" s="370">
        <v>0</v>
      </c>
      <c r="NK18" s="370">
        <v>0</v>
      </c>
      <c r="NL18" s="370">
        <v>0</v>
      </c>
      <c r="NM18" s="370">
        <v>0</v>
      </c>
      <c r="NN18" s="370">
        <v>0</v>
      </c>
      <c r="NO18" s="370">
        <v>0</v>
      </c>
      <c r="NP18" s="370">
        <v>0</v>
      </c>
      <c r="NQ18" s="370">
        <v>0</v>
      </c>
      <c r="NR18" s="370">
        <v>0</v>
      </c>
      <c r="NS18" s="370">
        <v>0</v>
      </c>
      <c r="NT18" s="370">
        <v>0</v>
      </c>
      <c r="NU18" s="370">
        <v>0</v>
      </c>
      <c r="NV18" s="370">
        <v>0</v>
      </c>
      <c r="NW18" s="370">
        <v>0</v>
      </c>
      <c r="NX18" s="370">
        <v>0</v>
      </c>
      <c r="NY18" s="370">
        <v>0</v>
      </c>
      <c r="NZ18" s="370">
        <v>2</v>
      </c>
      <c r="OA18" s="370">
        <v>0</v>
      </c>
      <c r="OB18" s="370">
        <v>2</v>
      </c>
      <c r="OC18" s="370">
        <v>1</v>
      </c>
      <c r="OD18" s="370">
        <v>1</v>
      </c>
      <c r="OE18" s="370">
        <v>0</v>
      </c>
      <c r="OF18" s="370">
        <v>0</v>
      </c>
      <c r="OG18" s="370">
        <v>0</v>
      </c>
      <c r="OH18" s="370">
        <v>2</v>
      </c>
      <c r="OI18" s="370">
        <v>0</v>
      </c>
      <c r="OJ18" s="370">
        <v>0</v>
      </c>
      <c r="OK18" s="370">
        <v>1</v>
      </c>
      <c r="OL18" s="370">
        <v>0</v>
      </c>
      <c r="OM18" s="370">
        <v>0</v>
      </c>
      <c r="ON18" s="370">
        <v>0</v>
      </c>
      <c r="OO18" s="370">
        <v>0</v>
      </c>
      <c r="OP18" s="370">
        <v>0</v>
      </c>
      <c r="OQ18" s="370">
        <v>1</v>
      </c>
      <c r="OR18" s="370">
        <v>1</v>
      </c>
      <c r="OS18" s="370">
        <v>1</v>
      </c>
      <c r="OT18" s="370">
        <v>1</v>
      </c>
      <c r="OU18" s="370">
        <v>0</v>
      </c>
      <c r="OV18" s="370">
        <v>1</v>
      </c>
      <c r="OW18" s="370">
        <v>0</v>
      </c>
      <c r="OX18" s="370">
        <v>0</v>
      </c>
      <c r="OY18" s="370">
        <v>1</v>
      </c>
      <c r="OZ18" s="370">
        <v>0</v>
      </c>
      <c r="PA18" s="370">
        <v>0</v>
      </c>
      <c r="PB18" s="370">
        <v>0</v>
      </c>
      <c r="PC18" s="370">
        <v>1</v>
      </c>
      <c r="PD18" s="370">
        <v>0</v>
      </c>
      <c r="PE18" s="370">
        <v>0</v>
      </c>
      <c r="PF18" s="370">
        <v>0</v>
      </c>
      <c r="PG18" s="370">
        <v>0</v>
      </c>
      <c r="PH18" s="370">
        <v>0</v>
      </c>
      <c r="PI18" s="370">
        <v>0</v>
      </c>
      <c r="PJ18" s="370">
        <v>0</v>
      </c>
      <c r="PK18" s="370">
        <v>0</v>
      </c>
      <c r="PL18" s="370">
        <v>0</v>
      </c>
      <c r="PM18" s="370">
        <v>0</v>
      </c>
      <c r="PN18" s="370">
        <v>0</v>
      </c>
      <c r="PO18" s="370">
        <v>0</v>
      </c>
      <c r="PP18" s="370">
        <v>0</v>
      </c>
      <c r="PQ18" s="370">
        <v>0</v>
      </c>
      <c r="PR18" s="370">
        <v>0</v>
      </c>
      <c r="PS18" s="370">
        <v>0</v>
      </c>
      <c r="PT18" s="370">
        <v>0</v>
      </c>
      <c r="PU18" s="370">
        <v>1</v>
      </c>
      <c r="PV18" s="370">
        <v>0</v>
      </c>
      <c r="PW18" s="370">
        <v>0</v>
      </c>
      <c r="PX18" s="370">
        <v>0</v>
      </c>
      <c r="PY18" s="370">
        <v>0</v>
      </c>
      <c r="PZ18" s="370">
        <v>0</v>
      </c>
      <c r="QA18" s="370">
        <v>0</v>
      </c>
      <c r="QB18" s="370">
        <v>0</v>
      </c>
      <c r="QC18" s="370">
        <v>2</v>
      </c>
      <c r="QD18" s="370">
        <v>0</v>
      </c>
      <c r="QE18" s="370">
        <v>0</v>
      </c>
      <c r="QF18" s="370">
        <v>0</v>
      </c>
      <c r="QG18" s="370">
        <v>0</v>
      </c>
      <c r="QH18" s="370">
        <v>1</v>
      </c>
      <c r="QI18" s="370">
        <v>0</v>
      </c>
      <c r="QJ18" s="370">
        <v>0</v>
      </c>
      <c r="QK18" s="370">
        <v>0</v>
      </c>
      <c r="QL18" s="370">
        <v>0</v>
      </c>
      <c r="QM18" s="370">
        <v>0</v>
      </c>
      <c r="QN18" s="370">
        <v>0</v>
      </c>
      <c r="QO18" s="370">
        <v>0</v>
      </c>
      <c r="QP18" s="370">
        <v>0</v>
      </c>
      <c r="QQ18" s="370">
        <v>1</v>
      </c>
      <c r="QR18" s="370">
        <v>0</v>
      </c>
      <c r="QS18" s="370">
        <v>0</v>
      </c>
      <c r="QT18" s="370">
        <v>0</v>
      </c>
      <c r="QU18" s="370">
        <v>0</v>
      </c>
      <c r="QV18" s="370">
        <v>0</v>
      </c>
      <c r="QW18" s="370">
        <v>0</v>
      </c>
      <c r="QX18" s="370">
        <v>0</v>
      </c>
      <c r="QY18" s="370">
        <v>0</v>
      </c>
      <c r="QZ18" s="370">
        <v>0</v>
      </c>
      <c r="RA18" s="370">
        <v>0</v>
      </c>
      <c r="RB18" s="370">
        <v>1</v>
      </c>
      <c r="RC18" s="370">
        <v>0</v>
      </c>
      <c r="RD18" s="370">
        <v>0</v>
      </c>
      <c r="RE18" s="370">
        <v>0</v>
      </c>
      <c r="RF18" s="370">
        <v>0</v>
      </c>
      <c r="RG18" s="370">
        <v>0</v>
      </c>
      <c r="RH18" s="370">
        <v>0</v>
      </c>
      <c r="RI18" s="370">
        <v>0</v>
      </c>
      <c r="RJ18" s="370">
        <v>0</v>
      </c>
      <c r="RK18" s="370">
        <v>0</v>
      </c>
      <c r="RL18" s="370">
        <v>0</v>
      </c>
      <c r="RM18" s="370">
        <v>0</v>
      </c>
      <c r="RN18" s="370">
        <v>0</v>
      </c>
      <c r="RO18" s="370">
        <v>0</v>
      </c>
      <c r="RP18" s="370">
        <v>0</v>
      </c>
      <c r="RQ18" s="370">
        <v>0</v>
      </c>
      <c r="RR18" s="370">
        <v>0</v>
      </c>
      <c r="RS18" s="370">
        <v>0</v>
      </c>
      <c r="RT18" s="370">
        <v>0</v>
      </c>
      <c r="RU18" s="370">
        <v>0</v>
      </c>
      <c r="RV18" s="370">
        <v>0</v>
      </c>
      <c r="RW18" s="370">
        <v>0</v>
      </c>
      <c r="RX18" s="370">
        <v>0</v>
      </c>
      <c r="RY18" s="370">
        <v>0</v>
      </c>
      <c r="RZ18" s="370">
        <v>0</v>
      </c>
      <c r="SA18" s="370">
        <v>0</v>
      </c>
      <c r="SB18" s="370">
        <v>0</v>
      </c>
      <c r="SC18" s="370">
        <v>0</v>
      </c>
      <c r="SD18" s="370">
        <v>0</v>
      </c>
      <c r="SE18" s="370">
        <v>0</v>
      </c>
      <c r="SF18" s="370">
        <v>0</v>
      </c>
      <c r="SG18" s="370">
        <v>0</v>
      </c>
      <c r="SH18" s="370">
        <v>0</v>
      </c>
      <c r="SI18" s="370">
        <v>0</v>
      </c>
      <c r="SJ18" s="370">
        <v>0</v>
      </c>
      <c r="SK18" s="370">
        <v>0</v>
      </c>
      <c r="SL18" s="370">
        <v>0</v>
      </c>
      <c r="SM18" s="370">
        <v>1</v>
      </c>
      <c r="SN18" s="370">
        <v>0</v>
      </c>
      <c r="SO18" s="370">
        <v>1</v>
      </c>
      <c r="SP18" s="370">
        <v>0</v>
      </c>
      <c r="SQ18" s="370">
        <v>0</v>
      </c>
      <c r="SR18" s="370">
        <v>0</v>
      </c>
      <c r="SS18" s="370">
        <v>0</v>
      </c>
      <c r="ST18" s="370">
        <v>0</v>
      </c>
      <c r="SU18" s="370">
        <v>0</v>
      </c>
      <c r="SV18" s="370">
        <v>0</v>
      </c>
      <c r="SW18" s="370">
        <v>0</v>
      </c>
      <c r="SX18" s="370">
        <v>0</v>
      </c>
      <c r="SY18" s="370">
        <v>0</v>
      </c>
      <c r="SZ18" s="370">
        <v>0</v>
      </c>
      <c r="TA18" s="370">
        <v>0</v>
      </c>
      <c r="TB18" s="370">
        <v>0</v>
      </c>
      <c r="TC18" s="370">
        <v>0</v>
      </c>
      <c r="TD18" s="370">
        <v>0</v>
      </c>
      <c r="TE18" s="370">
        <v>0</v>
      </c>
      <c r="TF18" s="370">
        <v>0</v>
      </c>
      <c r="TG18" s="370">
        <v>0</v>
      </c>
      <c r="TH18" s="370">
        <v>0</v>
      </c>
      <c r="TI18" s="370">
        <v>0</v>
      </c>
      <c r="TJ18" s="370">
        <v>0</v>
      </c>
      <c r="TK18" s="370">
        <v>0</v>
      </c>
      <c r="TL18" s="370">
        <v>0</v>
      </c>
      <c r="TM18" s="370">
        <v>0</v>
      </c>
      <c r="TN18" s="370">
        <v>0</v>
      </c>
      <c r="TO18" s="370">
        <v>0</v>
      </c>
      <c r="TP18" s="370">
        <v>0</v>
      </c>
      <c r="TQ18" s="370">
        <v>0</v>
      </c>
      <c r="TR18" s="370">
        <v>0</v>
      </c>
      <c r="TS18" s="370">
        <v>0</v>
      </c>
      <c r="TT18" s="370">
        <v>0</v>
      </c>
      <c r="TU18" s="370">
        <v>0</v>
      </c>
      <c r="TV18" s="370">
        <v>0</v>
      </c>
      <c r="TW18" s="370">
        <v>0</v>
      </c>
      <c r="TX18" s="370">
        <v>0</v>
      </c>
      <c r="TY18" s="370">
        <v>0</v>
      </c>
      <c r="TZ18" s="370">
        <v>0</v>
      </c>
      <c r="UA18" s="370">
        <v>0</v>
      </c>
      <c r="UB18" s="370">
        <v>0</v>
      </c>
      <c r="UC18" s="370">
        <v>0</v>
      </c>
      <c r="UD18" s="370">
        <v>0</v>
      </c>
      <c r="UE18" s="370">
        <v>0</v>
      </c>
      <c r="UF18" s="370">
        <v>0</v>
      </c>
      <c r="UG18" s="370">
        <v>0</v>
      </c>
      <c r="UH18" s="370">
        <v>0</v>
      </c>
      <c r="UI18" s="370">
        <v>0</v>
      </c>
      <c r="UJ18" s="370">
        <v>0</v>
      </c>
      <c r="UK18" s="370">
        <v>0</v>
      </c>
      <c r="UL18" s="370">
        <v>0</v>
      </c>
      <c r="UM18" s="370">
        <v>0</v>
      </c>
      <c r="UN18" s="370">
        <v>0</v>
      </c>
      <c r="UO18" s="370">
        <v>0</v>
      </c>
      <c r="UP18" s="370">
        <v>0</v>
      </c>
      <c r="UQ18" s="370">
        <v>0</v>
      </c>
      <c r="UR18" s="370">
        <v>0</v>
      </c>
      <c r="US18" s="370">
        <v>0</v>
      </c>
      <c r="UT18" s="370">
        <v>0</v>
      </c>
      <c r="UU18" s="370">
        <v>0</v>
      </c>
      <c r="UV18" s="370">
        <v>0</v>
      </c>
      <c r="UW18" s="370">
        <v>0</v>
      </c>
      <c r="UX18" s="370">
        <v>0</v>
      </c>
      <c r="UY18" s="370">
        <v>0</v>
      </c>
      <c r="UZ18" s="370">
        <v>0</v>
      </c>
      <c r="VA18" s="370">
        <v>0</v>
      </c>
      <c r="VB18" s="370">
        <v>0</v>
      </c>
      <c r="VC18" s="370">
        <v>0</v>
      </c>
      <c r="VD18" s="370">
        <v>0</v>
      </c>
      <c r="VE18" s="370">
        <v>0</v>
      </c>
      <c r="VF18" s="370">
        <v>0</v>
      </c>
      <c r="VG18" s="370">
        <v>0</v>
      </c>
      <c r="VH18" s="370">
        <v>0</v>
      </c>
      <c r="VI18" s="370">
        <v>0</v>
      </c>
      <c r="VJ18" s="370">
        <v>0</v>
      </c>
      <c r="VK18" s="370">
        <v>0</v>
      </c>
      <c r="VL18" s="370">
        <v>0</v>
      </c>
      <c r="VM18" s="370">
        <v>0</v>
      </c>
      <c r="VN18" s="370">
        <v>0</v>
      </c>
      <c r="VO18" s="370">
        <v>0</v>
      </c>
      <c r="VP18" s="370">
        <v>0</v>
      </c>
      <c r="VQ18" s="370">
        <v>0</v>
      </c>
      <c r="VR18" s="370">
        <v>0</v>
      </c>
      <c r="VS18" s="370">
        <v>0</v>
      </c>
      <c r="VT18" s="370">
        <v>0</v>
      </c>
      <c r="VU18" s="370">
        <v>0</v>
      </c>
      <c r="VV18" s="370">
        <v>0</v>
      </c>
      <c r="VW18" s="370">
        <v>0</v>
      </c>
      <c r="VX18" s="370">
        <v>0</v>
      </c>
      <c r="VY18" s="370">
        <v>0</v>
      </c>
      <c r="VZ18" s="370">
        <v>0</v>
      </c>
      <c r="WA18" s="370">
        <v>0</v>
      </c>
      <c r="WB18" s="370">
        <v>1</v>
      </c>
    </row>
    <row r="19" spans="1:600" s="370" customFormat="1" ht="18" customHeight="1" thickBot="1" x14ac:dyDescent="0.25">
      <c r="A19" s="104">
        <v>-1.7007666115204834</v>
      </c>
      <c r="B19" s="182"/>
      <c r="C19" s="199"/>
      <c r="D19" s="199"/>
      <c r="E19" s="200"/>
      <c r="F19" s="182"/>
      <c r="G19" s="182"/>
      <c r="H19" s="182"/>
      <c r="I19" s="322"/>
      <c r="J19" s="322"/>
      <c r="K19" s="322"/>
      <c r="L19" s="182"/>
      <c r="M19" s="182"/>
      <c r="N19" s="182"/>
      <c r="O19" s="182"/>
      <c r="P19" s="538"/>
      <c r="Q19" s="482" t="s">
        <v>714</v>
      </c>
      <c r="R19" s="483"/>
      <c r="S19" s="397">
        <v>1.7138885004113975</v>
      </c>
      <c r="T19" s="545"/>
      <c r="U19" s="280"/>
      <c r="V19" s="280"/>
      <c r="W19" s="137"/>
      <c r="X19" s="137"/>
      <c r="Y19" s="137"/>
      <c r="Z19" s="137"/>
      <c r="AA19" s="137"/>
      <c r="AB19" s="137"/>
      <c r="AC19" s="137"/>
      <c r="AD19" s="137"/>
      <c r="AE19" s="137"/>
      <c r="AF19" s="137"/>
      <c r="AG19" s="137"/>
      <c r="AH19" s="137"/>
      <c r="AI19" s="137"/>
      <c r="AJ19" s="137"/>
      <c r="AK19" s="137"/>
      <c r="AL19" s="137"/>
      <c r="AM19" s="137"/>
      <c r="AN19" s="137"/>
      <c r="AO19" s="137"/>
      <c r="AP19" s="137"/>
      <c r="AQ19" s="137"/>
      <c r="AR19" s="137"/>
      <c r="AS19" s="137"/>
      <c r="AT19" s="137"/>
      <c r="AU19" s="137"/>
      <c r="AV19" s="137"/>
      <c r="AW19" s="137"/>
      <c r="AX19" s="137"/>
      <c r="AY19" s="137"/>
      <c r="AZ19" s="137"/>
      <c r="BA19" s="137"/>
      <c r="BB19" s="137"/>
      <c r="BC19" s="137"/>
      <c r="BD19" s="137"/>
      <c r="BE19" s="137"/>
      <c r="BF19" s="137"/>
      <c r="BG19" s="137"/>
      <c r="BH19" s="137"/>
      <c r="BI19" s="137"/>
      <c r="BJ19" s="137"/>
      <c r="BK19" s="137"/>
      <c r="BL19" s="137"/>
      <c r="BM19" s="137"/>
      <c r="BN19" s="137"/>
      <c r="BO19" s="137"/>
      <c r="BP19" s="137"/>
      <c r="BQ19" s="137"/>
      <c r="BR19" s="137"/>
      <c r="BS19" s="137"/>
      <c r="BT19" s="137"/>
      <c r="BU19" s="137"/>
      <c r="BV19" s="137"/>
      <c r="BW19" s="137"/>
      <c r="BX19" s="137"/>
      <c r="BY19" s="137"/>
      <c r="BZ19" s="137"/>
      <c r="CA19" s="137"/>
      <c r="CB19" s="137"/>
      <c r="CC19" s="137"/>
      <c r="CD19" s="137"/>
      <c r="CE19" s="137"/>
      <c r="CF19" s="137"/>
      <c r="CG19" s="137"/>
      <c r="CH19" s="137"/>
      <c r="CI19" s="137"/>
      <c r="CJ19" s="137"/>
      <c r="CK19" s="137"/>
      <c r="CL19" s="137"/>
      <c r="CM19" s="137"/>
      <c r="CN19" s="137"/>
      <c r="CO19" s="137"/>
      <c r="CP19" s="137"/>
      <c r="CQ19" s="137"/>
      <c r="CR19" s="137"/>
      <c r="CS19" s="137"/>
      <c r="CT19" s="137"/>
      <c r="CU19" s="137"/>
      <c r="CV19" s="137"/>
      <c r="CW19" s="137"/>
      <c r="CX19" s="137"/>
      <c r="CY19" s="137"/>
      <c r="CZ19" s="137"/>
      <c r="DA19" s="137"/>
      <c r="DB19" s="137"/>
      <c r="DC19" s="137"/>
      <c r="DD19" s="137"/>
      <c r="DE19" s="137"/>
      <c r="DF19" s="137"/>
      <c r="DG19" s="137"/>
      <c r="DH19" s="137"/>
      <c r="DI19" s="137"/>
      <c r="DJ19" s="137"/>
      <c r="DK19" s="137"/>
      <c r="DL19" s="137"/>
      <c r="DM19" s="137"/>
      <c r="DN19" s="137"/>
      <c r="DO19" s="137"/>
      <c r="DP19" s="137"/>
      <c r="DQ19" s="137"/>
    </row>
    <row r="20" spans="1:600" s="370" customFormat="1" ht="17" customHeight="1" thickBot="1" x14ac:dyDescent="0.25">
      <c r="A20" s="394">
        <v>-1.7007575291665886</v>
      </c>
      <c r="B20" s="182"/>
      <c r="C20" s="199"/>
      <c r="D20" s="199"/>
      <c r="E20" s="200"/>
      <c r="F20" s="182"/>
      <c r="G20" s="182"/>
      <c r="H20" s="182"/>
      <c r="I20" s="322"/>
      <c r="J20" s="322"/>
      <c r="K20" s="322"/>
      <c r="L20" s="182"/>
      <c r="M20" s="182"/>
      <c r="N20" s="182"/>
      <c r="O20" s="182"/>
      <c r="P20" s="538"/>
      <c r="Q20" s="356"/>
      <c r="R20" s="371" t="s">
        <v>166</v>
      </c>
      <c r="S20" s="398">
        <v>0.05</v>
      </c>
      <c r="T20" s="545"/>
      <c r="U20" s="280"/>
      <c r="V20" s="280"/>
      <c r="W20" s="137"/>
      <c r="X20" s="137"/>
      <c r="Y20" s="137"/>
      <c r="Z20" s="137"/>
      <c r="AA20" s="137"/>
      <c r="AB20" s="137"/>
      <c r="AC20" s="137"/>
      <c r="AD20" s="137"/>
      <c r="AE20" s="137"/>
      <c r="AF20" s="137"/>
      <c r="AG20" s="137"/>
      <c r="AH20" s="137"/>
      <c r="AI20" s="137"/>
      <c r="AJ20" s="137"/>
      <c r="AK20" s="137"/>
      <c r="AL20" s="137"/>
      <c r="AM20" s="137"/>
      <c r="AN20" s="137"/>
      <c r="AO20" s="137"/>
      <c r="AP20" s="137"/>
      <c r="AQ20" s="137"/>
      <c r="AR20" s="137"/>
      <c r="AS20" s="137"/>
      <c r="AT20" s="137"/>
      <c r="AU20" s="137"/>
      <c r="AV20" s="137"/>
      <c r="AW20" s="137"/>
      <c r="AX20" s="137"/>
      <c r="AY20" s="137"/>
      <c r="AZ20" s="137"/>
      <c r="BA20" s="137"/>
      <c r="BB20" s="137"/>
      <c r="BC20" s="137"/>
      <c r="BD20" s="137"/>
      <c r="BE20" s="137"/>
      <c r="BF20" s="137"/>
      <c r="BG20" s="137"/>
      <c r="BH20" s="137"/>
      <c r="BI20" s="137"/>
      <c r="BJ20" s="137"/>
      <c r="BK20" s="137"/>
      <c r="BL20" s="137"/>
      <c r="BM20" s="137"/>
      <c r="BN20" s="137"/>
      <c r="BO20" s="137"/>
      <c r="BP20" s="137"/>
      <c r="BQ20" s="137"/>
      <c r="BR20" s="137"/>
      <c r="BS20" s="137"/>
      <c r="BT20" s="137"/>
      <c r="BU20" s="137"/>
      <c r="BV20" s="137"/>
      <c r="BW20" s="137"/>
      <c r="BX20" s="137"/>
      <c r="BY20" s="137"/>
      <c r="BZ20" s="137"/>
      <c r="CA20" s="137"/>
      <c r="CB20" s="137"/>
      <c r="CC20" s="137"/>
      <c r="CD20" s="137"/>
      <c r="CE20" s="137"/>
      <c r="CF20" s="137"/>
      <c r="CG20" s="137"/>
      <c r="CH20" s="137"/>
      <c r="CI20" s="137"/>
      <c r="CJ20" s="137"/>
      <c r="CK20" s="137"/>
      <c r="CL20" s="137"/>
      <c r="CM20" s="137"/>
      <c r="CN20" s="137"/>
      <c r="CO20" s="137"/>
      <c r="CP20" s="137"/>
      <c r="CQ20" s="137"/>
      <c r="CR20" s="137"/>
      <c r="CS20" s="137"/>
      <c r="CT20" s="137"/>
      <c r="CU20" s="137"/>
      <c r="CV20" s="137"/>
      <c r="CW20" s="137"/>
      <c r="CX20" s="137"/>
      <c r="CY20" s="137"/>
      <c r="CZ20" s="137"/>
      <c r="DA20" s="137"/>
      <c r="DB20" s="137"/>
      <c r="DC20" s="137"/>
      <c r="DD20" s="137"/>
      <c r="DE20" s="137"/>
      <c r="DF20" s="137"/>
      <c r="DG20" s="137"/>
      <c r="DH20" s="137"/>
      <c r="DI20" s="137"/>
      <c r="DJ20" s="137"/>
      <c r="DK20" s="137"/>
      <c r="DL20" s="137"/>
      <c r="DM20" s="137"/>
      <c r="DN20" s="137"/>
      <c r="DO20" s="137"/>
      <c r="DP20" s="137"/>
      <c r="DQ20" s="137"/>
    </row>
    <row r="21" spans="1:600" s="370" customFormat="1" ht="17" thickBot="1" x14ac:dyDescent="0.25">
      <c r="A21" s="394">
        <v>-1.6912497277927279</v>
      </c>
      <c r="B21" s="182"/>
      <c r="C21" s="199"/>
      <c r="D21" s="199"/>
      <c r="E21" s="200"/>
      <c r="F21" s="182"/>
      <c r="G21" s="182"/>
      <c r="H21" s="182"/>
      <c r="I21" s="322"/>
      <c r="J21" s="322"/>
      <c r="K21" s="322"/>
      <c r="L21" s="182"/>
      <c r="M21" s="182"/>
      <c r="N21" s="182"/>
      <c r="O21" s="182"/>
      <c r="P21" s="538"/>
      <c r="Q21" s="356"/>
      <c r="R21" s="356"/>
      <c r="S21" s="356"/>
      <c r="T21" s="347"/>
    </row>
    <row r="22" spans="1:600" s="370" customFormat="1" ht="17" thickBot="1" x14ac:dyDescent="0.25">
      <c r="A22" s="394">
        <v>-1.6669331811921189</v>
      </c>
      <c r="B22" s="182"/>
      <c r="C22" s="199"/>
      <c r="D22" s="199"/>
      <c r="E22" s="200"/>
      <c r="F22" s="182"/>
      <c r="G22" s="182"/>
      <c r="H22" s="182"/>
      <c r="I22" s="322"/>
      <c r="J22" s="322"/>
      <c r="K22" s="322"/>
      <c r="L22" s="182"/>
      <c r="M22" s="182"/>
      <c r="N22" s="182"/>
      <c r="O22" s="182"/>
      <c r="P22" s="355"/>
      <c r="Q22" s="482" t="s">
        <v>171</v>
      </c>
      <c r="R22" s="483"/>
      <c r="S22" s="398">
        <v>0.14002783016198528</v>
      </c>
      <c r="T22" s="374">
        <v>40</v>
      </c>
    </row>
    <row r="23" spans="1:600" s="370" customFormat="1" ht="17" thickBot="1" x14ac:dyDescent="0.25">
      <c r="A23" s="394">
        <v>-1.6649828771328656</v>
      </c>
      <c r="B23" s="182"/>
      <c r="C23" s="199"/>
      <c r="D23" s="199"/>
      <c r="E23" s="200"/>
      <c r="F23" s="182"/>
      <c r="G23" s="182"/>
      <c r="H23" s="182"/>
      <c r="I23" s="322"/>
      <c r="J23" s="322"/>
      <c r="K23" s="322"/>
      <c r="L23" s="182"/>
      <c r="M23" s="182"/>
      <c r="N23" s="182"/>
      <c r="O23" s="182"/>
      <c r="P23" s="395"/>
      <c r="Q23" s="375"/>
      <c r="R23" s="375"/>
      <c r="S23" s="375"/>
      <c r="T23" s="396"/>
    </row>
    <row r="24" spans="1:600" s="370" customFormat="1" ht="17" thickBot="1" x14ac:dyDescent="0.25">
      <c r="A24" s="104">
        <v>-1.6575666411588315</v>
      </c>
      <c r="B24" s="182"/>
      <c r="C24" s="199"/>
      <c r="D24" s="199"/>
      <c r="E24" s="200"/>
      <c r="F24" s="182"/>
      <c r="G24" s="328"/>
      <c r="H24" s="328"/>
      <c r="I24" s="324"/>
      <c r="J24" s="324"/>
      <c r="K24" s="324"/>
      <c r="L24" s="328"/>
      <c r="M24" s="328"/>
      <c r="N24" s="328"/>
      <c r="O24" s="328"/>
      <c r="P24" s="328"/>
      <c r="Q24" s="329"/>
      <c r="R24" s="329"/>
      <c r="S24" s="330"/>
      <c r="T24" s="328"/>
      <c r="U24" s="334"/>
      <c r="V24" s="334"/>
      <c r="W24" s="137"/>
      <c r="X24" s="137"/>
      <c r="Y24" s="137"/>
      <c r="Z24" s="137"/>
      <c r="AA24" s="137"/>
      <c r="AB24" s="137"/>
      <c r="AC24" s="137"/>
      <c r="AD24" s="137"/>
      <c r="AE24" s="137"/>
      <c r="AF24" s="137"/>
      <c r="AG24" s="137"/>
      <c r="AH24" s="137"/>
      <c r="AI24" s="137"/>
      <c r="AJ24" s="137"/>
      <c r="AK24" s="137"/>
      <c r="AL24" s="137"/>
      <c r="AM24" s="137"/>
      <c r="AN24" s="137"/>
      <c r="AO24" s="137"/>
      <c r="AP24" s="137"/>
      <c r="AQ24" s="137"/>
      <c r="AR24" s="137"/>
      <c r="AS24" s="137"/>
      <c r="AT24" s="137"/>
      <c r="AU24" s="137"/>
      <c r="AV24" s="137"/>
      <c r="AW24" s="137"/>
      <c r="AX24" s="137"/>
      <c r="AY24" s="137"/>
      <c r="AZ24" s="137"/>
      <c r="BA24" s="137"/>
      <c r="BB24" s="137"/>
      <c r="BC24" s="137"/>
      <c r="BD24" s="137"/>
      <c r="BE24" s="137"/>
      <c r="BF24" s="137"/>
      <c r="BG24" s="137"/>
      <c r="BH24" s="137"/>
      <c r="BI24" s="137"/>
      <c r="BJ24" s="137"/>
      <c r="BK24" s="137"/>
      <c r="BL24" s="137"/>
      <c r="BM24" s="137"/>
      <c r="BN24" s="137"/>
      <c r="BO24" s="137"/>
      <c r="BP24" s="137"/>
      <c r="BQ24" s="137"/>
      <c r="BR24" s="137"/>
      <c r="BS24" s="137"/>
      <c r="BT24" s="137"/>
      <c r="BU24" s="137"/>
      <c r="BV24" s="137"/>
      <c r="BW24" s="137"/>
      <c r="BX24" s="137"/>
      <c r="BY24" s="137"/>
      <c r="BZ24" s="137"/>
      <c r="CA24" s="137"/>
      <c r="CB24" s="137"/>
      <c r="CC24" s="137"/>
      <c r="CD24" s="137"/>
      <c r="CE24" s="137"/>
      <c r="CF24" s="137"/>
      <c r="CG24" s="137"/>
      <c r="CH24" s="137"/>
      <c r="CI24" s="137"/>
      <c r="CJ24" s="137"/>
      <c r="CK24" s="137"/>
      <c r="CL24" s="137"/>
      <c r="CM24" s="137"/>
      <c r="CN24" s="137"/>
      <c r="CO24" s="137"/>
      <c r="CP24" s="137"/>
      <c r="CQ24" s="137"/>
      <c r="CR24" s="137"/>
      <c r="CS24" s="137"/>
      <c r="CT24" s="137"/>
      <c r="CU24" s="137"/>
      <c r="CV24" s="137"/>
      <c r="CW24" s="137"/>
      <c r="CX24" s="137"/>
      <c r="CY24" s="137"/>
      <c r="CZ24" s="137"/>
      <c r="DA24" s="137"/>
      <c r="DB24" s="137"/>
      <c r="DC24" s="137"/>
      <c r="DD24" s="137"/>
      <c r="DE24" s="137"/>
      <c r="DF24" s="137"/>
      <c r="DG24" s="137"/>
      <c r="DH24" s="137"/>
      <c r="DI24" s="137"/>
      <c r="DJ24" s="137"/>
      <c r="DK24" s="137"/>
      <c r="DL24" s="137"/>
      <c r="DM24" s="137"/>
      <c r="DN24" s="137"/>
      <c r="DO24" s="137"/>
      <c r="DP24" s="137"/>
      <c r="DQ24" s="137"/>
    </row>
    <row r="25" spans="1:600" s="127" customFormat="1" ht="52" customHeight="1" thickBot="1" x14ac:dyDescent="0.25">
      <c r="A25" s="394">
        <v>-1.5976866838758368</v>
      </c>
      <c r="B25" s="508" t="s">
        <v>158</v>
      </c>
      <c r="C25" s="509"/>
      <c r="D25" s="509"/>
      <c r="E25" s="510"/>
      <c r="F25" s="183"/>
      <c r="G25" s="182"/>
      <c r="H25" s="182"/>
      <c r="I25" s="322" t="b">
        <v>0</v>
      </c>
      <c r="J25" s="322"/>
      <c r="K25" s="322"/>
      <c r="L25" s="182"/>
      <c r="M25" s="182"/>
      <c r="N25" s="182"/>
      <c r="O25" s="182"/>
      <c r="P25" s="182"/>
      <c r="Q25" s="138"/>
      <c r="R25" s="138"/>
      <c r="S25" s="139"/>
      <c r="T25" s="182"/>
      <c r="U25" s="280"/>
      <c r="V25" s="280"/>
      <c r="W25" s="280"/>
      <c r="X25" s="137"/>
      <c r="Y25" s="137"/>
      <c r="Z25" s="137"/>
      <c r="AA25" s="137"/>
      <c r="AB25" s="137"/>
      <c r="AC25" s="137"/>
      <c r="AD25" s="137"/>
      <c r="AE25" s="137"/>
      <c r="AF25" s="137"/>
      <c r="AG25" s="137"/>
      <c r="AH25" s="137"/>
      <c r="AI25" s="137"/>
      <c r="AJ25" s="137"/>
      <c r="AK25" s="137"/>
      <c r="AL25" s="137"/>
      <c r="AM25" s="137"/>
      <c r="AN25" s="137"/>
      <c r="AO25" s="137"/>
      <c r="AP25" s="137"/>
      <c r="AQ25" s="137"/>
      <c r="AR25" s="137"/>
      <c r="AS25" s="137"/>
      <c r="AT25" s="137"/>
      <c r="AU25" s="137"/>
      <c r="AV25" s="137"/>
      <c r="AW25" s="137"/>
      <c r="AX25" s="137"/>
      <c r="AY25" s="137"/>
      <c r="AZ25" s="137"/>
      <c r="BA25" s="137"/>
      <c r="BB25" s="137"/>
      <c r="BC25" s="137"/>
      <c r="BD25" s="137"/>
      <c r="BE25" s="137"/>
      <c r="BF25" s="137"/>
      <c r="BG25" s="137"/>
      <c r="BH25" s="137"/>
      <c r="BI25" s="137"/>
      <c r="BJ25" s="137"/>
      <c r="BK25" s="137"/>
      <c r="BL25" s="137"/>
      <c r="BM25" s="137"/>
      <c r="BN25" s="137"/>
      <c r="BO25" s="137"/>
      <c r="BP25" s="137"/>
      <c r="BQ25" s="137"/>
      <c r="BR25" s="137"/>
      <c r="BS25" s="137"/>
      <c r="BT25" s="137"/>
      <c r="BU25" s="137"/>
      <c r="BV25" s="137"/>
      <c r="BW25" s="137"/>
      <c r="BX25" s="137"/>
      <c r="BY25" s="137"/>
      <c r="BZ25" s="137"/>
      <c r="CA25" s="137"/>
      <c r="CB25" s="137"/>
      <c r="CC25" s="137"/>
      <c r="CD25" s="137"/>
      <c r="CE25" s="137"/>
      <c r="CF25" s="137"/>
      <c r="CG25" s="137"/>
      <c r="CH25" s="137"/>
      <c r="CI25" s="137"/>
      <c r="CJ25" s="137"/>
      <c r="CK25" s="137"/>
      <c r="CL25" s="137"/>
      <c r="CM25" s="137"/>
      <c r="CN25" s="137"/>
      <c r="CO25" s="137"/>
      <c r="CP25" s="137"/>
      <c r="CQ25" s="137"/>
      <c r="CR25" s="137"/>
      <c r="CS25" s="137"/>
      <c r="CT25" s="137"/>
      <c r="CU25" s="137"/>
      <c r="CV25" s="137"/>
      <c r="CW25" s="137"/>
      <c r="CX25" s="137"/>
      <c r="CY25" s="137"/>
      <c r="CZ25" s="137"/>
      <c r="DA25" s="137"/>
      <c r="DB25" s="137"/>
      <c r="DC25" s="137"/>
      <c r="DD25" s="137"/>
      <c r="DE25" s="137"/>
      <c r="DF25" s="137"/>
      <c r="DG25" s="137"/>
      <c r="DH25" s="137"/>
      <c r="DI25" s="137"/>
      <c r="DJ25" s="137"/>
      <c r="DK25" s="137"/>
      <c r="DL25" s="137"/>
      <c r="DM25" s="137"/>
      <c r="DN25" s="137"/>
      <c r="DO25" s="137"/>
      <c r="DP25" s="137"/>
      <c r="DQ25" s="137"/>
    </row>
    <row r="26" spans="1:600" s="127" customFormat="1" ht="52" customHeight="1" thickBot="1" x14ac:dyDescent="0.25">
      <c r="A26" s="385">
        <v>-1.5923585389167463</v>
      </c>
      <c r="B26" s="182"/>
      <c r="C26" s="199"/>
      <c r="D26" s="199"/>
      <c r="E26" s="200"/>
      <c r="F26" s="182"/>
      <c r="G26" s="182"/>
      <c r="H26" s="182"/>
      <c r="L26" s="281"/>
      <c r="Q26" s="138"/>
      <c r="R26" s="138"/>
      <c r="S26" s="139"/>
      <c r="U26" s="137"/>
      <c r="V26" s="137"/>
      <c r="W26" s="137"/>
      <c r="X26" s="137"/>
      <c r="Y26" s="137"/>
      <c r="Z26" s="137"/>
      <c r="AA26" s="137"/>
      <c r="AB26" s="137"/>
      <c r="AC26" s="137"/>
      <c r="AD26" s="137"/>
      <c r="AE26" s="137"/>
      <c r="AF26" s="137"/>
      <c r="AG26" s="137"/>
      <c r="AH26" s="137"/>
      <c r="AI26" s="137"/>
      <c r="AJ26" s="137"/>
      <c r="AK26" s="137"/>
      <c r="AL26" s="137"/>
      <c r="AM26" s="137"/>
      <c r="AN26" s="137"/>
      <c r="AO26" s="137"/>
      <c r="AP26" s="137"/>
      <c r="AQ26" s="137"/>
      <c r="AR26" s="137"/>
      <c r="AS26" s="137"/>
      <c r="AT26" s="137"/>
      <c r="AU26" s="137"/>
      <c r="AV26" s="137"/>
      <c r="AW26" s="137"/>
      <c r="AX26" s="137"/>
      <c r="AY26" s="137"/>
      <c r="AZ26" s="137"/>
      <c r="BA26" s="137"/>
      <c r="BB26" s="137"/>
      <c r="BC26" s="137"/>
      <c r="BD26" s="137"/>
      <c r="BE26" s="137"/>
      <c r="BF26" s="137"/>
      <c r="BG26" s="137"/>
      <c r="BH26" s="137"/>
      <c r="BI26" s="137"/>
      <c r="BJ26" s="137"/>
      <c r="BK26" s="137"/>
      <c r="BL26" s="137"/>
      <c r="BM26" s="137"/>
      <c r="BN26" s="137"/>
      <c r="BO26" s="137"/>
      <c r="BP26" s="137"/>
      <c r="BQ26" s="137"/>
      <c r="BR26" s="137"/>
      <c r="BS26" s="137"/>
      <c r="BT26" s="137"/>
      <c r="BU26" s="137"/>
      <c r="BV26" s="137"/>
      <c r="BW26" s="137"/>
      <c r="BX26" s="137"/>
      <c r="BY26" s="137"/>
      <c r="BZ26" s="137"/>
      <c r="CA26" s="137"/>
      <c r="CB26" s="137"/>
      <c r="CC26" s="137"/>
      <c r="CD26" s="137"/>
      <c r="CE26" s="137"/>
      <c r="CF26" s="137"/>
      <c r="CG26" s="137"/>
      <c r="CH26" s="137"/>
      <c r="CI26" s="137"/>
      <c r="CJ26" s="137"/>
      <c r="CK26" s="137"/>
      <c r="CL26" s="137"/>
      <c r="CM26" s="137"/>
      <c r="CN26" s="137"/>
      <c r="CO26" s="137"/>
      <c r="CP26" s="137"/>
      <c r="CQ26" s="137"/>
      <c r="CR26" s="137"/>
      <c r="CS26" s="137"/>
      <c r="CT26" s="137"/>
      <c r="CU26" s="137"/>
      <c r="CV26" s="137"/>
      <c r="CW26" s="137"/>
      <c r="CX26" s="137"/>
      <c r="CY26" s="137"/>
      <c r="CZ26" s="137"/>
      <c r="DA26" s="137"/>
      <c r="DB26" s="137"/>
      <c r="DC26" s="137"/>
      <c r="DD26" s="137"/>
      <c r="DE26" s="137"/>
      <c r="DF26" s="137"/>
      <c r="DG26" s="137"/>
      <c r="DH26" s="137"/>
      <c r="DI26" s="137"/>
      <c r="DJ26" s="137"/>
      <c r="DK26" s="137"/>
      <c r="DL26" s="137"/>
      <c r="DM26" s="137"/>
      <c r="DN26" s="137"/>
      <c r="DO26" s="137"/>
      <c r="DP26" s="137"/>
      <c r="DQ26" s="137"/>
    </row>
    <row r="27" spans="1:600" s="312" customFormat="1" ht="35" customHeight="1" thickBot="1" x14ac:dyDescent="0.25">
      <c r="A27" s="386">
        <v>-1.5871656747345866</v>
      </c>
      <c r="B27" s="306"/>
      <c r="C27" s="523" t="s">
        <v>155</v>
      </c>
      <c r="D27" s="524"/>
      <c r="E27" s="309">
        <v>54</v>
      </c>
      <c r="F27" s="310">
        <v>100</v>
      </c>
      <c r="G27" s="310">
        <v>28</v>
      </c>
      <c r="H27" s="311" t="s">
        <v>40</v>
      </c>
      <c r="I27" s="311" t="s">
        <v>40</v>
      </c>
      <c r="J27" s="311" t="s">
        <v>40</v>
      </c>
      <c r="K27" s="311" t="s">
        <v>40</v>
      </c>
      <c r="L27" s="311" t="s">
        <v>40</v>
      </c>
      <c r="M27" s="311" t="s">
        <v>40</v>
      </c>
      <c r="N27" s="311" t="s">
        <v>40</v>
      </c>
      <c r="O27" s="311"/>
      <c r="P27" s="311"/>
      <c r="Q27" s="311"/>
      <c r="R27" s="311"/>
      <c r="S27" s="311"/>
    </row>
    <row r="28" spans="1:600" s="305" customFormat="1" ht="17" thickBot="1" x14ac:dyDescent="0.25">
      <c r="A28" s="387">
        <v>-1.5628838689275724</v>
      </c>
      <c r="B28" s="302"/>
      <c r="C28" s="302"/>
      <c r="D28" s="302"/>
      <c r="E28" s="307" t="s">
        <v>60</v>
      </c>
      <c r="F28" s="307" t="s">
        <v>62</v>
      </c>
      <c r="G28" s="307" t="s">
        <v>117</v>
      </c>
      <c r="H28" s="308" t="s">
        <v>40</v>
      </c>
      <c r="I28" s="308" t="s">
        <v>40</v>
      </c>
      <c r="J28" s="308" t="s">
        <v>40</v>
      </c>
      <c r="K28" s="308" t="s">
        <v>40</v>
      </c>
      <c r="L28" s="308" t="s">
        <v>40</v>
      </c>
      <c r="M28" s="308" t="s">
        <v>40</v>
      </c>
      <c r="N28" s="308" t="s">
        <v>40</v>
      </c>
      <c r="O28" s="308"/>
      <c r="P28" s="303"/>
      <c r="Q28" s="303"/>
      <c r="R28" s="303"/>
      <c r="S28" s="303"/>
      <c r="T28" s="304"/>
      <c r="U28" s="304"/>
      <c r="V28" s="304"/>
      <c r="W28" s="304"/>
      <c r="X28" s="304"/>
      <c r="Y28" s="304"/>
      <c r="Z28" s="304"/>
      <c r="AA28" s="304"/>
      <c r="AB28" s="304"/>
      <c r="AC28" s="304"/>
      <c r="AD28" s="304"/>
      <c r="AE28" s="304"/>
      <c r="AF28" s="304"/>
      <c r="AG28" s="304"/>
      <c r="AH28" s="304"/>
      <c r="AI28" s="304"/>
      <c r="AJ28" s="304"/>
      <c r="AK28" s="304"/>
      <c r="AL28" s="304"/>
      <c r="AM28" s="304"/>
      <c r="AN28" s="304"/>
      <c r="AO28" s="304"/>
      <c r="AP28" s="304"/>
      <c r="AQ28" s="304"/>
      <c r="AR28" s="304"/>
      <c r="AS28" s="304"/>
      <c r="AT28" s="304"/>
      <c r="AU28" s="304"/>
      <c r="AV28" s="304"/>
      <c r="AW28" s="304"/>
      <c r="AX28" s="304"/>
      <c r="AY28" s="304"/>
      <c r="AZ28" s="304"/>
      <c r="BA28" s="304"/>
      <c r="BB28" s="304"/>
      <c r="BC28" s="304"/>
      <c r="BD28" s="304"/>
      <c r="BE28" s="304"/>
      <c r="BF28" s="304"/>
      <c r="BG28" s="304"/>
      <c r="BH28" s="304"/>
      <c r="BI28" s="304"/>
      <c r="BJ28" s="304"/>
      <c r="BK28" s="304"/>
      <c r="BL28" s="304"/>
      <c r="BM28" s="304"/>
      <c r="BN28" s="304"/>
      <c r="BO28" s="304"/>
      <c r="BP28" s="304"/>
      <c r="BQ28" s="304"/>
      <c r="BR28" s="304"/>
      <c r="BS28" s="304"/>
      <c r="BT28" s="304"/>
      <c r="BU28" s="304"/>
      <c r="BV28" s="304"/>
      <c r="BW28" s="304"/>
      <c r="BX28" s="304"/>
      <c r="BY28" s="304"/>
      <c r="BZ28" s="304"/>
      <c r="CA28" s="304"/>
      <c r="CB28" s="304"/>
      <c r="CC28" s="304"/>
      <c r="CD28" s="304"/>
      <c r="CE28" s="304"/>
      <c r="CF28" s="304"/>
      <c r="CG28" s="304"/>
      <c r="CH28" s="304"/>
      <c r="CI28" s="304"/>
      <c r="CJ28" s="304"/>
      <c r="CK28" s="304"/>
      <c r="CL28" s="304"/>
      <c r="CM28" s="304"/>
      <c r="CN28" s="304"/>
      <c r="CO28" s="304"/>
      <c r="CP28" s="304"/>
      <c r="CQ28" s="304"/>
      <c r="CR28" s="304"/>
      <c r="CS28" s="304"/>
      <c r="CT28" s="304"/>
      <c r="CU28" s="304"/>
      <c r="CV28" s="304"/>
      <c r="CW28" s="304"/>
      <c r="CX28" s="304"/>
      <c r="CY28" s="304"/>
      <c r="CZ28" s="304"/>
      <c r="DA28" s="304"/>
      <c r="DB28" s="304"/>
      <c r="DC28" s="304"/>
      <c r="DD28" s="304"/>
      <c r="DE28" s="303"/>
      <c r="DF28" s="302"/>
      <c r="DG28" s="302"/>
      <c r="DH28" s="302"/>
      <c r="DI28" s="302"/>
      <c r="DJ28" s="302"/>
      <c r="DK28" s="302"/>
      <c r="DL28" s="302"/>
      <c r="DM28" s="302"/>
      <c r="DN28" s="302"/>
      <c r="DO28" s="302"/>
      <c r="DP28" s="302"/>
      <c r="DQ28" s="302"/>
    </row>
    <row r="29" spans="1:600" s="101" customFormat="1" ht="17" thickBot="1" x14ac:dyDescent="0.25">
      <c r="A29" s="388">
        <v>-1.5507867075464943</v>
      </c>
      <c r="B29" s="148"/>
      <c r="C29" s="156"/>
      <c r="D29" s="156"/>
      <c r="E29" s="149" t="s">
        <v>71</v>
      </c>
      <c r="F29" s="149" t="s">
        <v>75</v>
      </c>
      <c r="G29" s="149" t="s">
        <v>120</v>
      </c>
      <c r="H29" s="150" t="s">
        <v>40</v>
      </c>
      <c r="I29" s="150" t="s">
        <v>40</v>
      </c>
      <c r="J29" s="150" t="s">
        <v>40</v>
      </c>
      <c r="K29" s="150" t="s">
        <v>40</v>
      </c>
      <c r="L29" s="150" t="s">
        <v>40</v>
      </c>
      <c r="M29" s="150" t="s">
        <v>40</v>
      </c>
      <c r="N29" s="150" t="s">
        <v>40</v>
      </c>
      <c r="O29" s="150"/>
      <c r="P29" s="150"/>
      <c r="Q29" s="150"/>
      <c r="R29" s="150"/>
      <c r="S29" s="150"/>
      <c r="T29" s="150"/>
      <c r="U29" s="150"/>
      <c r="V29" s="150"/>
      <c r="W29" s="150"/>
      <c r="X29" s="150"/>
      <c r="Y29" s="150"/>
      <c r="Z29" s="150"/>
      <c r="AA29" s="150"/>
      <c r="AB29" s="150"/>
      <c r="AC29" s="150"/>
      <c r="AD29" s="150"/>
      <c r="AE29" s="150"/>
      <c r="AF29" s="150"/>
      <c r="AG29" s="150"/>
      <c r="AH29" s="150"/>
      <c r="AI29" s="150"/>
      <c r="AJ29" s="150"/>
      <c r="AK29" s="150"/>
      <c r="AL29" s="150"/>
      <c r="AM29" s="150"/>
      <c r="AN29" s="150"/>
      <c r="AO29" s="150"/>
      <c r="AP29" s="150"/>
      <c r="AQ29" s="150"/>
      <c r="AR29" s="150"/>
      <c r="AS29" s="150"/>
      <c r="AT29" s="150"/>
      <c r="AU29" s="150"/>
      <c r="AV29" s="150"/>
      <c r="AW29" s="150"/>
      <c r="AX29" s="150"/>
      <c r="AY29" s="150"/>
      <c r="AZ29" s="150"/>
      <c r="BA29" s="150"/>
      <c r="BB29" s="150"/>
      <c r="BC29" s="150"/>
      <c r="BD29" s="150"/>
      <c r="BE29" s="150"/>
      <c r="BF29" s="150"/>
      <c r="BG29" s="150"/>
      <c r="BH29" s="150"/>
      <c r="BI29" s="150"/>
      <c r="BJ29" s="150"/>
      <c r="BK29" s="150"/>
      <c r="BL29" s="150"/>
      <c r="BM29" s="150"/>
      <c r="BN29" s="150"/>
      <c r="BO29" s="150"/>
      <c r="BP29" s="150"/>
      <c r="BQ29" s="150"/>
      <c r="BR29" s="150"/>
      <c r="BS29" s="150"/>
      <c r="BT29" s="150"/>
      <c r="BU29" s="150"/>
      <c r="BV29" s="150"/>
      <c r="BW29" s="150"/>
      <c r="BX29" s="150"/>
      <c r="BY29" s="150"/>
      <c r="BZ29" s="150"/>
      <c r="CA29" s="150"/>
      <c r="CB29" s="150"/>
      <c r="CC29" s="150"/>
      <c r="CD29" s="150"/>
      <c r="CE29" s="150"/>
      <c r="CF29" s="150"/>
      <c r="CG29" s="150"/>
      <c r="CH29" s="150"/>
      <c r="CI29" s="150"/>
      <c r="CJ29" s="150"/>
      <c r="CK29" s="150"/>
      <c r="CL29" s="150"/>
      <c r="CM29" s="150"/>
      <c r="CN29" s="150"/>
      <c r="CO29" s="150"/>
      <c r="CP29" s="150"/>
      <c r="CQ29" s="150"/>
      <c r="CR29" s="150"/>
      <c r="CS29" s="150"/>
      <c r="CT29" s="150"/>
      <c r="CU29" s="150"/>
      <c r="CV29" s="150"/>
      <c r="CW29" s="150"/>
      <c r="CX29" s="150"/>
      <c r="CY29" s="150"/>
      <c r="CZ29" s="150"/>
      <c r="DA29" s="150"/>
      <c r="DB29" s="150"/>
      <c r="DC29" s="150"/>
      <c r="DD29" s="150"/>
      <c r="DE29" s="151"/>
      <c r="DF29" s="151"/>
      <c r="DG29" s="151"/>
      <c r="DH29" s="151"/>
      <c r="DI29" s="151"/>
      <c r="DJ29" s="151"/>
      <c r="DK29" s="151"/>
      <c r="DL29" s="151"/>
      <c r="DM29" s="151"/>
      <c r="DN29" s="151"/>
      <c r="DO29" s="151"/>
      <c r="DP29" s="151"/>
      <c r="DQ29" s="151"/>
    </row>
    <row r="30" spans="1:600" s="2" customFormat="1" ht="20" thickBot="1" x14ac:dyDescent="0.3">
      <c r="A30" s="390">
        <v>-1.5160422634095112</v>
      </c>
      <c r="B30" s="132"/>
      <c r="C30" s="491" t="s">
        <v>65</v>
      </c>
      <c r="D30" s="492"/>
      <c r="E30" s="152" t="s">
        <v>40</v>
      </c>
      <c r="F30" s="153" t="s">
        <v>40</v>
      </c>
      <c r="G30" s="153" t="s">
        <v>40</v>
      </c>
      <c r="H30" s="153" t="s">
        <v>40</v>
      </c>
      <c r="I30" s="153" t="s">
        <v>40</v>
      </c>
      <c r="J30" s="153" t="s">
        <v>40</v>
      </c>
      <c r="K30" s="153" t="s">
        <v>40</v>
      </c>
      <c r="L30" s="153" t="s">
        <v>40</v>
      </c>
      <c r="M30" s="153" t="s">
        <v>40</v>
      </c>
      <c r="N30" s="154" t="s">
        <v>40</v>
      </c>
      <c r="O30" s="154"/>
      <c r="P30" s="154"/>
      <c r="Q30" s="123"/>
      <c r="R30" s="123"/>
      <c r="S30" s="123"/>
      <c r="T30" s="123"/>
      <c r="U30" s="123"/>
      <c r="V30" s="123"/>
      <c r="W30" s="123"/>
      <c r="X30" s="123"/>
      <c r="Y30" s="123"/>
      <c r="Z30" s="123"/>
      <c r="AA30" s="123"/>
      <c r="AB30" s="123"/>
      <c r="AC30" s="123"/>
      <c r="AD30" s="123"/>
      <c r="AE30" s="123"/>
      <c r="AF30" s="123"/>
      <c r="AG30" s="123"/>
      <c r="AH30" s="123"/>
      <c r="AI30" s="123"/>
      <c r="AJ30" s="123"/>
      <c r="AK30" s="123"/>
      <c r="AL30" s="123"/>
      <c r="AM30" s="123"/>
      <c r="AN30" s="123"/>
      <c r="AO30" s="123"/>
      <c r="AP30" s="123"/>
      <c r="AQ30" s="123"/>
      <c r="AR30" s="123"/>
      <c r="AS30" s="123"/>
      <c r="AT30" s="123"/>
      <c r="AU30" s="123"/>
      <c r="AV30" s="123"/>
      <c r="AW30" s="123"/>
      <c r="AX30" s="123"/>
      <c r="AY30" s="123"/>
      <c r="AZ30" s="123"/>
      <c r="BA30" s="123"/>
      <c r="BB30" s="123"/>
      <c r="BC30" s="123"/>
      <c r="BD30" s="123"/>
      <c r="BE30" s="123"/>
      <c r="BF30" s="123"/>
      <c r="BG30" s="123"/>
      <c r="BH30" s="123"/>
      <c r="BI30" s="123"/>
      <c r="BJ30" s="123"/>
      <c r="BK30" s="123"/>
      <c r="BL30" s="123"/>
      <c r="BM30" s="123"/>
      <c r="BN30" s="123"/>
      <c r="BO30" s="123"/>
      <c r="BP30" s="123"/>
      <c r="BQ30" s="123"/>
      <c r="BR30" s="123"/>
      <c r="BS30" s="123"/>
      <c r="BT30" s="123"/>
      <c r="BU30" s="123"/>
      <c r="BV30" s="123"/>
      <c r="BW30" s="123"/>
      <c r="BX30" s="123"/>
      <c r="BY30" s="123"/>
      <c r="BZ30" s="123"/>
      <c r="CA30" s="123"/>
      <c r="CB30" s="123"/>
      <c r="CC30" s="123"/>
      <c r="CD30" s="123"/>
      <c r="CE30" s="123"/>
      <c r="CF30" s="123"/>
      <c r="CG30" s="123"/>
      <c r="CH30" s="123"/>
      <c r="CI30" s="123"/>
      <c r="CJ30" s="123"/>
      <c r="CK30" s="123"/>
      <c r="CL30" s="123"/>
      <c r="CM30" s="123"/>
      <c r="CN30" s="123"/>
      <c r="CO30" s="123"/>
      <c r="CP30" s="123"/>
      <c r="CQ30" s="123"/>
      <c r="CR30" s="123"/>
      <c r="CS30" s="123"/>
      <c r="CT30" s="123"/>
      <c r="CU30" s="123"/>
      <c r="CV30" s="123"/>
      <c r="CW30" s="123"/>
      <c r="CX30" s="123"/>
      <c r="CY30" s="123"/>
      <c r="CZ30" s="123"/>
      <c r="DA30" s="123"/>
      <c r="DB30" s="123"/>
      <c r="DC30" s="123"/>
      <c r="DD30" s="123"/>
      <c r="DE30" s="155"/>
      <c r="DF30" s="155"/>
      <c r="DG30" s="155"/>
      <c r="DH30" s="155"/>
      <c r="DI30" s="155"/>
      <c r="DJ30" s="155"/>
      <c r="DK30" s="155"/>
      <c r="DL30" s="155"/>
      <c r="DM30" s="155"/>
      <c r="DN30" s="155"/>
      <c r="DO30" s="155"/>
      <c r="DP30" s="155"/>
      <c r="DQ30" s="155"/>
    </row>
    <row r="31" spans="1:600" s="400" customFormat="1" x14ac:dyDescent="0.2">
      <c r="A31" s="388">
        <v>-1.5156161606505818</v>
      </c>
      <c r="B31" s="156"/>
      <c r="C31" s="293" t="s">
        <v>7</v>
      </c>
      <c r="D31" s="294" t="s">
        <v>1</v>
      </c>
      <c r="E31" s="399">
        <v>100</v>
      </c>
      <c r="F31" s="399">
        <v>100</v>
      </c>
      <c r="G31" s="399">
        <v>100</v>
      </c>
      <c r="H31" s="413" t="s">
        <v>40</v>
      </c>
      <c r="I31" s="279" t="s">
        <v>40</v>
      </c>
      <c r="J31" s="317" t="s">
        <v>40</v>
      </c>
      <c r="K31" s="114" t="s">
        <v>40</v>
      </c>
      <c r="L31" s="115" t="s">
        <v>40</v>
      </c>
      <c r="M31" s="114" t="s">
        <v>40</v>
      </c>
      <c r="N31" s="115" t="s">
        <v>40</v>
      </c>
      <c r="O31" s="115"/>
      <c r="P31" s="115"/>
      <c r="Q31" s="114"/>
      <c r="R31" s="115"/>
      <c r="S31" s="114"/>
      <c r="T31" s="115"/>
      <c r="U31" s="114"/>
      <c r="V31" s="115"/>
      <c r="W31" s="114"/>
      <c r="X31" s="115"/>
      <c r="Y31" s="114"/>
      <c r="Z31" s="115"/>
      <c r="AA31" s="114"/>
      <c r="AB31" s="115"/>
      <c r="AC31" s="114"/>
      <c r="AD31" s="115"/>
      <c r="AE31" s="114"/>
      <c r="AF31" s="115"/>
      <c r="AG31" s="114"/>
      <c r="AH31" s="115"/>
      <c r="AI31" s="114"/>
      <c r="AJ31" s="115"/>
      <c r="AK31" s="114"/>
      <c r="AL31" s="115"/>
      <c r="AM31" s="114"/>
      <c r="AN31" s="115"/>
      <c r="AO31" s="114"/>
      <c r="AP31" s="115"/>
      <c r="AQ31" s="114"/>
      <c r="AR31" s="115"/>
      <c r="AS31" s="114"/>
      <c r="AT31" s="115"/>
      <c r="AU31" s="114"/>
      <c r="AV31" s="115"/>
      <c r="AW31" s="114"/>
      <c r="AX31" s="115"/>
      <c r="AY31" s="114"/>
      <c r="AZ31" s="115"/>
      <c r="BA31" s="114"/>
      <c r="BB31" s="115"/>
      <c r="BC31" s="114"/>
      <c r="BD31" s="115"/>
      <c r="BE31" s="114"/>
      <c r="BF31" s="115"/>
      <c r="BG31" s="114"/>
      <c r="BH31" s="115"/>
      <c r="BI31" s="114"/>
      <c r="BJ31" s="115"/>
      <c r="BK31" s="114"/>
      <c r="BL31" s="115"/>
      <c r="BM31" s="114"/>
      <c r="BN31" s="115"/>
      <c r="BO31" s="114"/>
      <c r="BP31" s="115"/>
      <c r="BQ31" s="114"/>
      <c r="BR31" s="115"/>
      <c r="BS31" s="114"/>
      <c r="BT31" s="115"/>
      <c r="BU31" s="114"/>
      <c r="BV31" s="115"/>
      <c r="BW31" s="114"/>
      <c r="BX31" s="115"/>
      <c r="BY31" s="114"/>
      <c r="BZ31" s="115"/>
      <c r="CA31" s="114"/>
      <c r="CB31" s="115"/>
      <c r="CC31" s="114"/>
      <c r="CD31" s="115"/>
      <c r="CE31" s="114"/>
      <c r="CF31" s="115"/>
      <c r="CG31" s="114"/>
      <c r="CH31" s="115"/>
      <c r="CI31" s="114"/>
      <c r="CJ31" s="115"/>
      <c r="CK31" s="114"/>
      <c r="CL31" s="115"/>
      <c r="CM31" s="114"/>
      <c r="CN31" s="115"/>
      <c r="CO31" s="114"/>
      <c r="CP31" s="115"/>
      <c r="CQ31" s="114"/>
      <c r="CR31" s="115"/>
      <c r="CS31" s="114"/>
      <c r="CT31" s="115"/>
      <c r="CU31" s="114"/>
      <c r="CV31" s="115"/>
      <c r="CW31" s="114"/>
      <c r="CX31" s="115"/>
      <c r="CY31" s="114"/>
      <c r="CZ31" s="115"/>
      <c r="DA31" s="114"/>
      <c r="DB31" s="115"/>
      <c r="DC31" s="114"/>
      <c r="DD31" s="115"/>
    </row>
    <row r="32" spans="1:600" s="402" customFormat="1" ht="17" thickBot="1" x14ac:dyDescent="0.25">
      <c r="A32" s="389">
        <v>-1.5131311769547415</v>
      </c>
      <c r="B32" s="162"/>
      <c r="C32" s="295" t="s">
        <v>8</v>
      </c>
      <c r="D32" s="296" t="s">
        <v>3</v>
      </c>
      <c r="E32" s="401">
        <v>0.05</v>
      </c>
      <c r="F32" s="401">
        <v>0.05</v>
      </c>
      <c r="G32" s="288" t="s">
        <v>40</v>
      </c>
      <c r="H32" s="278" t="s">
        <v>40</v>
      </c>
      <c r="I32" s="278" t="s">
        <v>40</v>
      </c>
      <c r="J32" s="278" t="s">
        <v>40</v>
      </c>
      <c r="K32" s="116" t="s">
        <v>40</v>
      </c>
      <c r="L32" s="116" t="s">
        <v>40</v>
      </c>
      <c r="M32" s="116" t="s">
        <v>40</v>
      </c>
      <c r="N32" s="116" t="s">
        <v>40</v>
      </c>
      <c r="O32" s="116"/>
      <c r="P32" s="116"/>
      <c r="Q32" s="116"/>
      <c r="R32" s="116"/>
      <c r="S32" s="116"/>
      <c r="T32" s="116"/>
      <c r="U32" s="116"/>
      <c r="V32" s="116"/>
      <c r="W32" s="116"/>
      <c r="X32" s="116"/>
      <c r="Y32" s="116"/>
      <c r="Z32" s="116"/>
      <c r="AA32" s="116"/>
      <c r="AB32" s="116"/>
      <c r="AC32" s="116"/>
      <c r="AD32" s="116"/>
      <c r="AE32" s="116"/>
      <c r="AF32" s="116"/>
      <c r="AG32" s="116"/>
      <c r="AH32" s="116"/>
      <c r="AI32" s="116"/>
      <c r="AJ32" s="116"/>
      <c r="AK32" s="116"/>
      <c r="AL32" s="116"/>
      <c r="AM32" s="116"/>
      <c r="AN32" s="116"/>
      <c r="AO32" s="116"/>
      <c r="AP32" s="116"/>
      <c r="AQ32" s="116"/>
      <c r="AR32" s="116"/>
      <c r="AS32" s="116"/>
      <c r="AT32" s="116"/>
      <c r="AU32" s="116"/>
      <c r="AV32" s="116"/>
      <c r="AW32" s="116"/>
      <c r="AX32" s="116"/>
      <c r="AY32" s="116"/>
      <c r="AZ32" s="116"/>
      <c r="BA32" s="116"/>
      <c r="BB32" s="116"/>
      <c r="BC32" s="116"/>
      <c r="BD32" s="116"/>
      <c r="BE32" s="116"/>
      <c r="BF32" s="116"/>
      <c r="BG32" s="116"/>
      <c r="BH32" s="116"/>
      <c r="BI32" s="116"/>
      <c r="BJ32" s="116"/>
      <c r="BK32" s="116"/>
      <c r="BL32" s="116"/>
      <c r="BM32" s="116"/>
      <c r="BN32" s="116"/>
      <c r="BO32" s="116"/>
      <c r="BP32" s="116"/>
      <c r="BQ32" s="116"/>
      <c r="BR32" s="116"/>
      <c r="BS32" s="116"/>
      <c r="BT32" s="116"/>
      <c r="BU32" s="116"/>
      <c r="BV32" s="116"/>
      <c r="BW32" s="116"/>
      <c r="BX32" s="116"/>
      <c r="BY32" s="116"/>
      <c r="BZ32" s="116"/>
      <c r="CA32" s="116"/>
      <c r="CB32" s="116"/>
      <c r="CC32" s="116"/>
      <c r="CD32" s="116"/>
      <c r="CE32" s="116"/>
      <c r="CF32" s="116"/>
      <c r="CG32" s="116"/>
      <c r="CH32" s="116"/>
      <c r="CI32" s="116"/>
      <c r="CJ32" s="116"/>
      <c r="CK32" s="116"/>
      <c r="CL32" s="116"/>
      <c r="CM32" s="116"/>
      <c r="CN32" s="116"/>
      <c r="CO32" s="116"/>
      <c r="CP32" s="116"/>
      <c r="CQ32" s="116"/>
      <c r="CR32" s="116"/>
      <c r="CS32" s="116"/>
      <c r="CT32" s="116"/>
      <c r="CU32" s="116"/>
      <c r="CV32" s="116"/>
      <c r="CW32" s="116"/>
      <c r="CX32" s="116"/>
      <c r="CY32" s="116"/>
      <c r="CZ32" s="116"/>
      <c r="DA32" s="116"/>
      <c r="DB32" s="116"/>
      <c r="DC32" s="116"/>
      <c r="DD32" s="116"/>
    </row>
    <row r="33" spans="1:121" s="402" customFormat="1" x14ac:dyDescent="0.2">
      <c r="A33" s="390">
        <v>-1.5065775393171328</v>
      </c>
      <c r="B33" s="162"/>
      <c r="C33" s="295" t="s">
        <v>9</v>
      </c>
      <c r="D33" s="297" t="s">
        <v>4</v>
      </c>
      <c r="E33" s="403">
        <v>0</v>
      </c>
      <c r="F33" s="403">
        <v>0</v>
      </c>
      <c r="G33" s="288" t="s">
        <v>40</v>
      </c>
      <c r="H33" s="278" t="s">
        <v>40</v>
      </c>
      <c r="I33" s="278" t="s">
        <v>40</v>
      </c>
      <c r="J33" s="278" t="s">
        <v>40</v>
      </c>
      <c r="K33" s="116" t="s">
        <v>40</v>
      </c>
      <c r="L33" s="116" t="s">
        <v>40</v>
      </c>
      <c r="M33" s="116" t="s">
        <v>40</v>
      </c>
      <c r="N33" s="116" t="s">
        <v>40</v>
      </c>
      <c r="O33" s="116"/>
      <c r="P33" s="116"/>
      <c r="Q33" s="116"/>
      <c r="R33" s="116"/>
      <c r="S33" s="116"/>
      <c r="T33" s="116"/>
      <c r="U33" s="116"/>
      <c r="V33" s="116"/>
      <c r="W33" s="116"/>
      <c r="X33" s="116"/>
      <c r="Y33" s="116"/>
      <c r="Z33" s="116"/>
      <c r="AA33" s="116"/>
      <c r="AB33" s="116"/>
      <c r="AC33" s="116"/>
      <c r="AD33" s="116"/>
      <c r="AE33" s="116"/>
      <c r="AF33" s="116"/>
      <c r="AG33" s="116"/>
      <c r="AH33" s="116"/>
      <c r="AI33" s="116"/>
      <c r="AJ33" s="116"/>
      <c r="AK33" s="116"/>
      <c r="AL33" s="116"/>
      <c r="AM33" s="116"/>
      <c r="AN33" s="116"/>
      <c r="AO33" s="116"/>
      <c r="AP33" s="116"/>
      <c r="AQ33" s="116"/>
      <c r="AR33" s="116"/>
      <c r="AS33" s="116"/>
      <c r="AT33" s="116"/>
      <c r="AU33" s="116"/>
      <c r="AV33" s="116"/>
      <c r="AW33" s="116"/>
      <c r="AX33" s="116"/>
      <c r="AY33" s="116"/>
      <c r="AZ33" s="116"/>
      <c r="BA33" s="116"/>
      <c r="BB33" s="116"/>
      <c r="BC33" s="116"/>
      <c r="BD33" s="116"/>
      <c r="BE33" s="116"/>
      <c r="BF33" s="116"/>
      <c r="BG33" s="116"/>
      <c r="BH33" s="116"/>
      <c r="BI33" s="116"/>
      <c r="BJ33" s="116"/>
      <c r="BK33" s="116"/>
      <c r="BL33" s="116"/>
      <c r="BM33" s="116"/>
      <c r="BN33" s="116"/>
      <c r="BO33" s="116"/>
      <c r="BP33" s="116"/>
      <c r="BQ33" s="116"/>
      <c r="BR33" s="116"/>
      <c r="BS33" s="116"/>
      <c r="BT33" s="116"/>
      <c r="BU33" s="116"/>
      <c r="BV33" s="116"/>
      <c r="BW33" s="116"/>
      <c r="BX33" s="116"/>
      <c r="BY33" s="116"/>
      <c r="BZ33" s="116"/>
      <c r="CA33" s="116"/>
      <c r="CB33" s="116"/>
      <c r="CC33" s="116"/>
      <c r="CD33" s="116"/>
      <c r="CE33" s="116"/>
      <c r="CF33" s="116"/>
      <c r="CG33" s="116"/>
      <c r="CH33" s="116"/>
      <c r="CI33" s="116"/>
      <c r="CJ33" s="116"/>
      <c r="CK33" s="116"/>
      <c r="CL33" s="116"/>
      <c r="CM33" s="116"/>
      <c r="CN33" s="116"/>
      <c r="CO33" s="116"/>
      <c r="CP33" s="116"/>
      <c r="CQ33" s="116"/>
      <c r="CR33" s="116"/>
      <c r="CS33" s="116"/>
      <c r="CT33" s="116"/>
      <c r="CU33" s="116"/>
      <c r="CV33" s="116"/>
      <c r="CW33" s="116"/>
      <c r="CX33" s="116"/>
      <c r="CY33" s="116"/>
      <c r="CZ33" s="116"/>
      <c r="DA33" s="116"/>
      <c r="DB33" s="116"/>
      <c r="DC33" s="116"/>
      <c r="DD33" s="116"/>
    </row>
    <row r="34" spans="1:121" s="405" customFormat="1" ht="17" thickBot="1" x14ac:dyDescent="0.25">
      <c r="A34" s="389">
        <v>-1.4885376234543215</v>
      </c>
      <c r="B34" s="167"/>
      <c r="C34" s="298" t="s">
        <v>10</v>
      </c>
      <c r="D34" s="299" t="s">
        <v>5</v>
      </c>
      <c r="E34" s="404">
        <v>0.2</v>
      </c>
      <c r="F34" s="404">
        <v>0.2</v>
      </c>
      <c r="G34" s="289" t="s">
        <v>40</v>
      </c>
      <c r="H34" s="318" t="s">
        <v>40</v>
      </c>
      <c r="I34" s="318" t="s">
        <v>40</v>
      </c>
      <c r="J34" s="318" t="s">
        <v>40</v>
      </c>
      <c r="K34" s="117" t="s">
        <v>40</v>
      </c>
      <c r="L34" s="117" t="s">
        <v>40</v>
      </c>
      <c r="M34" s="117" t="s">
        <v>40</v>
      </c>
      <c r="N34" s="117" t="s">
        <v>40</v>
      </c>
      <c r="O34" s="117"/>
      <c r="P34" s="117"/>
      <c r="Q34" s="117"/>
      <c r="R34" s="117"/>
      <c r="S34" s="117"/>
      <c r="T34" s="117"/>
      <c r="U34" s="117"/>
      <c r="V34" s="117"/>
      <c r="W34" s="117"/>
      <c r="X34" s="117"/>
      <c r="Y34" s="117"/>
      <c r="Z34" s="117"/>
      <c r="AA34" s="117"/>
      <c r="AB34" s="117"/>
      <c r="AC34" s="117"/>
      <c r="AD34" s="117"/>
      <c r="AE34" s="117"/>
      <c r="AF34" s="117"/>
      <c r="AG34" s="117"/>
      <c r="AH34" s="117"/>
      <c r="AI34" s="117"/>
      <c r="AJ34" s="117"/>
      <c r="AK34" s="117"/>
      <c r="AL34" s="117"/>
      <c r="AM34" s="117"/>
      <c r="AN34" s="117"/>
      <c r="AO34" s="117"/>
      <c r="AP34" s="117"/>
      <c r="AQ34" s="117"/>
      <c r="AR34" s="117"/>
      <c r="AS34" s="117"/>
      <c r="AT34" s="117"/>
      <c r="AU34" s="117"/>
      <c r="AV34" s="117"/>
      <c r="AW34" s="117"/>
      <c r="AX34" s="117"/>
      <c r="AY34" s="117"/>
      <c r="AZ34" s="117"/>
      <c r="BA34" s="117"/>
      <c r="BB34" s="117"/>
      <c r="BC34" s="117"/>
      <c r="BD34" s="117"/>
      <c r="BE34" s="117"/>
      <c r="BF34" s="117"/>
      <c r="BG34" s="117"/>
      <c r="BH34" s="117"/>
      <c r="BI34" s="117"/>
      <c r="BJ34" s="117"/>
      <c r="BK34" s="117"/>
      <c r="BL34" s="117"/>
      <c r="BM34" s="117"/>
      <c r="BN34" s="117"/>
      <c r="BO34" s="117"/>
      <c r="BP34" s="117"/>
      <c r="BQ34" s="117"/>
      <c r="BR34" s="117"/>
      <c r="BS34" s="117"/>
      <c r="BT34" s="117"/>
      <c r="BU34" s="117"/>
      <c r="BV34" s="117"/>
      <c r="BW34" s="117"/>
      <c r="BX34" s="117"/>
      <c r="BY34" s="117"/>
      <c r="BZ34" s="117"/>
      <c r="CA34" s="117"/>
      <c r="CB34" s="117"/>
      <c r="CC34" s="117"/>
      <c r="CD34" s="117"/>
      <c r="CE34" s="117"/>
      <c r="CF34" s="117"/>
      <c r="CG34" s="117"/>
      <c r="CH34" s="117"/>
      <c r="CI34" s="117"/>
      <c r="CJ34" s="117"/>
      <c r="CK34" s="117"/>
      <c r="CL34" s="117"/>
      <c r="CM34" s="117"/>
      <c r="CN34" s="117"/>
      <c r="CO34" s="117"/>
      <c r="CP34" s="117"/>
      <c r="CQ34" s="117"/>
      <c r="CR34" s="117"/>
      <c r="CS34" s="117"/>
      <c r="CT34" s="117"/>
      <c r="CU34" s="117"/>
      <c r="CV34" s="117"/>
      <c r="CW34" s="117"/>
      <c r="CX34" s="117"/>
      <c r="CY34" s="117"/>
      <c r="CZ34" s="117"/>
      <c r="DA34" s="117"/>
      <c r="DB34" s="117"/>
      <c r="DC34" s="117"/>
      <c r="DD34" s="117"/>
    </row>
    <row r="35" spans="1:121" s="42" customFormat="1" ht="47" customHeight="1" thickBot="1" x14ac:dyDescent="0.25">
      <c r="A35" s="390">
        <v>-1.4806389069620685</v>
      </c>
      <c r="B35" s="127"/>
      <c r="C35" s="171"/>
      <c r="D35" s="266"/>
      <c r="E35" s="173" t="s">
        <v>40</v>
      </c>
      <c r="F35" s="267" t="s">
        <v>40</v>
      </c>
      <c r="G35" s="267" t="s">
        <v>40</v>
      </c>
      <c r="H35" s="267" t="s">
        <v>40</v>
      </c>
      <c r="I35" s="267" t="s">
        <v>40</v>
      </c>
      <c r="J35" s="267" t="s">
        <v>40</v>
      </c>
      <c r="K35" s="122" t="s">
        <v>40</v>
      </c>
      <c r="L35" s="122" t="s">
        <v>40</v>
      </c>
      <c r="M35" s="122" t="s">
        <v>40</v>
      </c>
      <c r="N35" s="122" t="s">
        <v>40</v>
      </c>
      <c r="O35" s="122"/>
      <c r="P35" s="122"/>
      <c r="Q35" s="122"/>
      <c r="R35" s="122"/>
      <c r="S35" s="122"/>
      <c r="T35" s="122"/>
      <c r="U35" s="122"/>
      <c r="V35" s="122"/>
      <c r="W35" s="122"/>
      <c r="X35" s="122"/>
      <c r="Y35" s="122"/>
      <c r="Z35" s="122"/>
      <c r="AA35" s="122"/>
      <c r="AB35" s="122"/>
      <c r="AC35" s="122"/>
      <c r="AD35" s="122"/>
      <c r="AE35" s="122"/>
      <c r="AF35" s="122"/>
      <c r="AG35" s="122"/>
      <c r="AH35" s="122"/>
      <c r="AI35" s="122"/>
      <c r="AJ35" s="122"/>
      <c r="AK35" s="122"/>
      <c r="AL35" s="122"/>
      <c r="AM35" s="122"/>
      <c r="AN35" s="122"/>
      <c r="AO35" s="122"/>
      <c r="AP35" s="122"/>
      <c r="AQ35" s="122"/>
      <c r="AR35" s="122"/>
      <c r="AS35" s="122"/>
      <c r="AT35" s="122"/>
      <c r="AU35" s="122"/>
      <c r="AV35" s="122"/>
      <c r="AW35" s="122"/>
      <c r="AX35" s="122"/>
      <c r="AY35" s="122"/>
      <c r="AZ35" s="122"/>
      <c r="BA35" s="122"/>
      <c r="BB35" s="122"/>
      <c r="BC35" s="122"/>
      <c r="BD35" s="122"/>
      <c r="BE35" s="122"/>
      <c r="BF35" s="122"/>
      <c r="BG35" s="122"/>
      <c r="BH35" s="122"/>
      <c r="BI35" s="122"/>
      <c r="BJ35" s="122"/>
      <c r="BK35" s="122"/>
      <c r="BL35" s="122"/>
      <c r="BM35" s="122"/>
      <c r="BN35" s="122"/>
      <c r="BO35" s="122"/>
      <c r="BP35" s="122"/>
      <c r="BQ35" s="122"/>
      <c r="BR35" s="122"/>
      <c r="BS35" s="122"/>
      <c r="BT35" s="122"/>
      <c r="BU35" s="122"/>
      <c r="BV35" s="122"/>
      <c r="BW35" s="122"/>
      <c r="BX35" s="122"/>
      <c r="BY35" s="122"/>
      <c r="BZ35" s="122"/>
      <c r="CA35" s="122"/>
      <c r="CB35" s="122"/>
      <c r="CC35" s="122"/>
      <c r="CD35" s="122"/>
      <c r="CE35" s="122"/>
      <c r="CF35" s="122"/>
      <c r="CG35" s="122"/>
      <c r="CH35" s="122"/>
      <c r="CI35" s="122"/>
      <c r="CJ35" s="122"/>
      <c r="CK35" s="122"/>
      <c r="CL35" s="122"/>
      <c r="CM35" s="122"/>
      <c r="CN35" s="122"/>
      <c r="CO35" s="122"/>
      <c r="CP35" s="122"/>
      <c r="CQ35" s="122"/>
      <c r="CR35" s="122"/>
      <c r="CS35" s="122"/>
      <c r="CT35" s="122"/>
      <c r="CU35" s="122"/>
      <c r="CV35" s="122"/>
      <c r="CW35" s="122"/>
      <c r="CX35" s="122"/>
      <c r="CY35" s="122"/>
      <c r="CZ35" s="122"/>
      <c r="DA35" s="122"/>
      <c r="DB35" s="122"/>
      <c r="DC35" s="122"/>
      <c r="DD35" s="122"/>
      <c r="DE35" s="123"/>
      <c r="DF35" s="123"/>
      <c r="DG35" s="123"/>
      <c r="DH35" s="123"/>
      <c r="DI35" s="123"/>
      <c r="DJ35" s="123"/>
      <c r="DK35" s="123"/>
      <c r="DL35" s="123"/>
      <c r="DM35" s="123"/>
      <c r="DN35" s="123"/>
      <c r="DO35" s="123"/>
      <c r="DP35" s="123"/>
      <c r="DQ35" s="123"/>
    </row>
    <row r="36" spans="1:121" s="2" customFormat="1" ht="20" thickBot="1" x14ac:dyDescent="0.3">
      <c r="A36" s="390">
        <v>-1.4796600965327875</v>
      </c>
      <c r="B36" s="132"/>
      <c r="C36" s="491" t="s">
        <v>66</v>
      </c>
      <c r="D36" s="522"/>
      <c r="E36" s="174" t="s">
        <v>40</v>
      </c>
      <c r="F36" s="267" t="s">
        <v>40</v>
      </c>
      <c r="G36" s="267" t="s">
        <v>40</v>
      </c>
      <c r="H36" s="267" t="s">
        <v>40</v>
      </c>
      <c r="I36" s="267" t="s">
        <v>40</v>
      </c>
      <c r="J36" s="267" t="s">
        <v>40</v>
      </c>
      <c r="K36" s="122" t="s">
        <v>40</v>
      </c>
      <c r="L36" s="122" t="s">
        <v>40</v>
      </c>
      <c r="M36" s="122" t="s">
        <v>40</v>
      </c>
      <c r="N36" s="122" t="s">
        <v>40</v>
      </c>
      <c r="O36" s="122"/>
      <c r="P36" s="122"/>
      <c r="Q36" s="122"/>
      <c r="R36" s="122"/>
      <c r="S36" s="122"/>
      <c r="T36" s="122"/>
      <c r="U36" s="122"/>
      <c r="V36" s="122"/>
      <c r="W36" s="122"/>
      <c r="X36" s="122"/>
      <c r="Y36" s="122"/>
      <c r="Z36" s="122"/>
      <c r="AA36" s="122"/>
      <c r="AB36" s="122"/>
      <c r="AC36" s="122"/>
      <c r="AD36" s="122"/>
      <c r="AE36" s="122"/>
      <c r="AF36" s="122"/>
      <c r="AG36" s="122"/>
      <c r="AH36" s="122"/>
      <c r="AI36" s="122"/>
      <c r="AJ36" s="122"/>
      <c r="AK36" s="122"/>
      <c r="AL36" s="122"/>
      <c r="AM36" s="122"/>
      <c r="AN36" s="122"/>
      <c r="AO36" s="122"/>
      <c r="AP36" s="122"/>
      <c r="AQ36" s="122"/>
      <c r="AR36" s="122"/>
      <c r="AS36" s="122"/>
      <c r="AT36" s="122"/>
      <c r="AU36" s="122"/>
      <c r="AV36" s="122"/>
      <c r="AW36" s="122"/>
      <c r="AX36" s="122"/>
      <c r="AY36" s="122"/>
      <c r="AZ36" s="122"/>
      <c r="BA36" s="122"/>
      <c r="BB36" s="122"/>
      <c r="BC36" s="122"/>
      <c r="BD36" s="122"/>
      <c r="BE36" s="122"/>
      <c r="BF36" s="122"/>
      <c r="BG36" s="122"/>
      <c r="BH36" s="122"/>
      <c r="BI36" s="122"/>
      <c r="BJ36" s="122"/>
      <c r="BK36" s="122"/>
      <c r="BL36" s="122"/>
      <c r="BM36" s="122"/>
      <c r="BN36" s="122"/>
      <c r="BO36" s="122"/>
      <c r="BP36" s="122"/>
      <c r="BQ36" s="122"/>
      <c r="BR36" s="122"/>
      <c r="BS36" s="122"/>
      <c r="BT36" s="122"/>
      <c r="BU36" s="122"/>
      <c r="BV36" s="122"/>
      <c r="BW36" s="122"/>
      <c r="BX36" s="122"/>
      <c r="BY36" s="122"/>
      <c r="BZ36" s="122"/>
      <c r="CA36" s="122"/>
      <c r="CB36" s="122"/>
      <c r="CC36" s="122"/>
      <c r="CD36" s="122"/>
      <c r="CE36" s="122"/>
      <c r="CF36" s="122"/>
      <c r="CG36" s="122"/>
      <c r="CH36" s="122"/>
      <c r="CI36" s="122"/>
      <c r="CJ36" s="122"/>
      <c r="CK36" s="122"/>
      <c r="CL36" s="122"/>
      <c r="CM36" s="122"/>
      <c r="CN36" s="122"/>
      <c r="CO36" s="122"/>
      <c r="CP36" s="122"/>
      <c r="CQ36" s="122"/>
      <c r="CR36" s="122"/>
      <c r="CS36" s="122"/>
      <c r="CT36" s="122"/>
      <c r="CU36" s="122"/>
      <c r="CV36" s="122"/>
      <c r="CW36" s="122"/>
      <c r="CX36" s="122"/>
      <c r="CY36" s="122"/>
      <c r="CZ36" s="122"/>
      <c r="DA36" s="122"/>
      <c r="DB36" s="122"/>
      <c r="DC36" s="122"/>
      <c r="DD36" s="122"/>
      <c r="DE36" s="155"/>
      <c r="DF36" s="155"/>
      <c r="DG36" s="155"/>
      <c r="DH36" s="155"/>
      <c r="DI36" s="155"/>
      <c r="DJ36" s="155"/>
      <c r="DK36" s="155"/>
      <c r="DL36" s="155"/>
      <c r="DM36" s="155"/>
      <c r="DN36" s="155"/>
      <c r="DO36" s="155"/>
      <c r="DP36" s="155"/>
      <c r="DQ36" s="155"/>
    </row>
    <row r="37" spans="1:121" s="406" customFormat="1" ht="20" customHeight="1" thickBot="1" x14ac:dyDescent="0.25">
      <c r="A37" s="386">
        <v>-1.4752495733952755</v>
      </c>
      <c r="B37" s="292"/>
      <c r="C37" s="300" t="s">
        <v>6</v>
      </c>
      <c r="D37" s="301" t="s">
        <v>2</v>
      </c>
      <c r="E37" s="399">
        <v>100</v>
      </c>
      <c r="F37" s="290">
        <v>100</v>
      </c>
      <c r="G37" s="290" t="s">
        <v>40</v>
      </c>
      <c r="H37" s="279" t="s">
        <v>40</v>
      </c>
      <c r="I37" s="279" t="s">
        <v>40</v>
      </c>
      <c r="J37" s="279" t="s">
        <v>40</v>
      </c>
      <c r="K37" s="279" t="s">
        <v>40</v>
      </c>
      <c r="L37" s="279" t="s">
        <v>40</v>
      </c>
      <c r="M37" s="279" t="s">
        <v>40</v>
      </c>
      <c r="N37" s="279" t="s">
        <v>40</v>
      </c>
      <c r="O37" s="279"/>
      <c r="P37" s="279"/>
      <c r="Q37" s="279"/>
      <c r="R37" s="279"/>
      <c r="S37" s="114"/>
      <c r="T37" s="114"/>
      <c r="U37" s="114"/>
      <c r="V37" s="114"/>
      <c r="W37" s="114"/>
      <c r="X37" s="114"/>
      <c r="Y37" s="114"/>
      <c r="Z37" s="114"/>
      <c r="AA37" s="114"/>
      <c r="AB37" s="114"/>
      <c r="AC37" s="114"/>
      <c r="AD37" s="114"/>
      <c r="AE37" s="114"/>
      <c r="AF37" s="114"/>
      <c r="AG37" s="114"/>
      <c r="AH37" s="114"/>
      <c r="AI37" s="114"/>
      <c r="AJ37" s="114"/>
      <c r="AK37" s="114"/>
      <c r="AL37" s="114"/>
      <c r="AM37" s="114"/>
      <c r="AN37" s="114"/>
      <c r="AO37" s="114"/>
      <c r="AP37" s="114"/>
      <c r="AQ37" s="114"/>
      <c r="AR37" s="114"/>
      <c r="AS37" s="114"/>
      <c r="AT37" s="114"/>
      <c r="AU37" s="114"/>
      <c r="AV37" s="114"/>
      <c r="AW37" s="114"/>
      <c r="AX37" s="114"/>
      <c r="AY37" s="114"/>
      <c r="AZ37" s="114"/>
      <c r="BA37" s="114"/>
      <c r="BB37" s="114"/>
      <c r="BC37" s="114"/>
      <c r="BD37" s="114"/>
      <c r="BE37" s="114"/>
      <c r="BF37" s="114"/>
      <c r="BG37" s="114"/>
      <c r="BH37" s="114"/>
      <c r="BI37" s="114"/>
      <c r="BJ37" s="114"/>
      <c r="BK37" s="114"/>
      <c r="BL37" s="114"/>
      <c r="BM37" s="114"/>
      <c r="BN37" s="114"/>
      <c r="BO37" s="114"/>
      <c r="BP37" s="114"/>
      <c r="BQ37" s="114"/>
      <c r="BR37" s="114"/>
      <c r="BS37" s="114"/>
      <c r="BT37" s="114"/>
      <c r="BU37" s="114"/>
      <c r="BV37" s="114"/>
      <c r="BW37" s="114"/>
      <c r="BX37" s="114"/>
      <c r="BY37" s="114"/>
      <c r="BZ37" s="114"/>
      <c r="CA37" s="114"/>
      <c r="CB37" s="114"/>
      <c r="CC37" s="114"/>
      <c r="CD37" s="114"/>
      <c r="CE37" s="114"/>
      <c r="CF37" s="114"/>
      <c r="CG37" s="114"/>
      <c r="CH37" s="114"/>
      <c r="CI37" s="114"/>
      <c r="CJ37" s="114"/>
      <c r="CK37" s="114"/>
      <c r="CL37" s="114"/>
      <c r="CM37" s="114"/>
      <c r="CN37" s="114"/>
      <c r="CO37" s="114"/>
      <c r="CP37" s="114"/>
      <c r="CQ37" s="114"/>
      <c r="CR37" s="114"/>
      <c r="CS37" s="114"/>
      <c r="CT37" s="114"/>
      <c r="CU37" s="114"/>
      <c r="CV37" s="114"/>
      <c r="CW37" s="114"/>
      <c r="CX37" s="114"/>
      <c r="CY37" s="114"/>
      <c r="CZ37" s="114"/>
      <c r="DA37" s="114"/>
      <c r="DB37" s="114"/>
      <c r="DC37" s="114"/>
      <c r="DD37" s="114"/>
    </row>
    <row r="38" spans="1:121" s="402" customFormat="1" ht="17" thickBot="1" x14ac:dyDescent="0.25">
      <c r="A38" s="390">
        <v>-1.473061172156084</v>
      </c>
      <c r="B38" s="162"/>
      <c r="C38" s="295" t="s">
        <v>11</v>
      </c>
      <c r="D38" s="297" t="s">
        <v>12</v>
      </c>
      <c r="E38" s="403">
        <f>30/365</f>
        <v>8.2191780821917804E-2</v>
      </c>
      <c r="F38" s="403">
        <f>90/365</f>
        <v>0.24657534246575341</v>
      </c>
      <c r="G38" s="403" t="s">
        <v>40</v>
      </c>
      <c r="H38" s="407" t="s">
        <v>40</v>
      </c>
      <c r="I38" s="407" t="s">
        <v>40</v>
      </c>
      <c r="J38" s="407" t="s">
        <v>40</v>
      </c>
      <c r="K38" s="278" t="s">
        <v>40</v>
      </c>
      <c r="L38" s="278" t="s">
        <v>40</v>
      </c>
      <c r="M38" s="278" t="s">
        <v>40</v>
      </c>
      <c r="N38" s="278" t="s">
        <v>40</v>
      </c>
      <c r="O38" s="278"/>
      <c r="P38" s="278"/>
      <c r="Q38" s="278"/>
      <c r="R38" s="278"/>
      <c r="S38" s="116"/>
      <c r="T38" s="116"/>
      <c r="U38" s="116"/>
      <c r="V38" s="116"/>
      <c r="W38" s="116"/>
      <c r="X38" s="116"/>
      <c r="Y38" s="116"/>
      <c r="Z38" s="116"/>
      <c r="AA38" s="116"/>
      <c r="AB38" s="116"/>
      <c r="AC38" s="116"/>
      <c r="AD38" s="116"/>
      <c r="AE38" s="116"/>
      <c r="AF38" s="116"/>
      <c r="AG38" s="116"/>
      <c r="AH38" s="116"/>
      <c r="AI38" s="116"/>
      <c r="AJ38" s="116"/>
      <c r="AK38" s="116"/>
      <c r="AL38" s="116"/>
      <c r="AM38" s="116"/>
      <c r="AN38" s="116"/>
      <c r="AO38" s="116"/>
      <c r="AP38" s="116"/>
      <c r="AQ38" s="116"/>
      <c r="AR38" s="116"/>
      <c r="AS38" s="116"/>
      <c r="AT38" s="116"/>
      <c r="AU38" s="116"/>
      <c r="AV38" s="116"/>
      <c r="AW38" s="116"/>
      <c r="AX38" s="116"/>
      <c r="AY38" s="116"/>
      <c r="AZ38" s="116"/>
      <c r="BA38" s="116"/>
      <c r="BB38" s="116"/>
      <c r="BC38" s="116"/>
      <c r="BD38" s="116"/>
      <c r="BE38" s="116"/>
      <c r="BF38" s="116"/>
      <c r="BG38" s="116"/>
      <c r="BH38" s="116"/>
      <c r="BI38" s="116"/>
      <c r="BJ38" s="116"/>
      <c r="BK38" s="116"/>
      <c r="BL38" s="116"/>
      <c r="BM38" s="116"/>
      <c r="BN38" s="116"/>
      <c r="BO38" s="116"/>
      <c r="BP38" s="116"/>
      <c r="BQ38" s="116"/>
      <c r="BR38" s="116"/>
      <c r="BS38" s="116"/>
      <c r="BT38" s="116"/>
      <c r="BU38" s="116"/>
      <c r="BV38" s="116"/>
      <c r="BW38" s="116"/>
      <c r="BX38" s="116"/>
      <c r="BY38" s="116"/>
      <c r="BZ38" s="116"/>
      <c r="CA38" s="116"/>
      <c r="CB38" s="116"/>
      <c r="CC38" s="116"/>
      <c r="CD38" s="116"/>
      <c r="CE38" s="116"/>
      <c r="CF38" s="116"/>
      <c r="CG38" s="116"/>
      <c r="CH38" s="116"/>
      <c r="CI38" s="116"/>
      <c r="CJ38" s="116"/>
      <c r="CK38" s="116"/>
      <c r="CL38" s="116"/>
      <c r="CM38" s="116"/>
      <c r="CN38" s="116"/>
      <c r="CO38" s="116"/>
      <c r="CP38" s="116"/>
      <c r="CQ38" s="116"/>
      <c r="CR38" s="116"/>
      <c r="CS38" s="116"/>
      <c r="CT38" s="116"/>
      <c r="CU38" s="116"/>
      <c r="CV38" s="116"/>
      <c r="CW38" s="116"/>
      <c r="CX38" s="116"/>
      <c r="CY38" s="116"/>
      <c r="CZ38" s="116"/>
      <c r="DA38" s="116"/>
      <c r="DB38" s="116"/>
      <c r="DC38" s="116"/>
      <c r="DD38" s="116"/>
    </row>
    <row r="39" spans="1:121" s="405" customFormat="1" ht="52" thickBot="1" x14ac:dyDescent="0.25">
      <c r="A39" s="386">
        <v>-1.4648347951465843</v>
      </c>
      <c r="B39" s="167"/>
      <c r="C39" s="369" t="s">
        <v>164</v>
      </c>
      <c r="D39" s="299" t="s">
        <v>163</v>
      </c>
      <c r="E39" s="408">
        <v>2.4933768194037484</v>
      </c>
      <c r="F39" s="291">
        <v>2.4933768194037484</v>
      </c>
      <c r="G39" s="291">
        <v>100</v>
      </c>
      <c r="H39" s="319" t="s">
        <v>40</v>
      </c>
      <c r="I39" s="319" t="s">
        <v>40</v>
      </c>
      <c r="J39" s="319" t="s">
        <v>40</v>
      </c>
      <c r="K39" s="118" t="s">
        <v>40</v>
      </c>
      <c r="L39" s="118" t="s">
        <v>40</v>
      </c>
      <c r="M39" s="118" t="s">
        <v>40</v>
      </c>
      <c r="N39" s="118" t="s">
        <v>40</v>
      </c>
      <c r="O39" s="118"/>
      <c r="P39" s="118"/>
      <c r="Q39" s="118"/>
      <c r="R39" s="118"/>
      <c r="S39" s="118"/>
      <c r="T39" s="118"/>
      <c r="U39" s="118"/>
      <c r="V39" s="118"/>
      <c r="W39" s="118"/>
      <c r="X39" s="118"/>
      <c r="Y39" s="118"/>
      <c r="Z39" s="118"/>
      <c r="AA39" s="118"/>
      <c r="AB39" s="118"/>
      <c r="AC39" s="118"/>
      <c r="AD39" s="118"/>
      <c r="AE39" s="118"/>
      <c r="AF39" s="118"/>
      <c r="AG39" s="118"/>
      <c r="AH39" s="118"/>
      <c r="AI39" s="118"/>
      <c r="AJ39" s="118"/>
      <c r="AK39" s="118"/>
      <c r="AL39" s="118"/>
      <c r="AM39" s="118"/>
      <c r="AN39" s="118"/>
      <c r="AO39" s="118"/>
      <c r="AP39" s="118"/>
      <c r="AQ39" s="118"/>
      <c r="AR39" s="118"/>
      <c r="AS39" s="118"/>
      <c r="AT39" s="118"/>
      <c r="AU39" s="118"/>
      <c r="AV39" s="118"/>
      <c r="AW39" s="118"/>
      <c r="AX39" s="118"/>
      <c r="AY39" s="118"/>
      <c r="AZ39" s="118"/>
      <c r="BA39" s="118"/>
      <c r="BB39" s="118"/>
      <c r="BC39" s="118"/>
      <c r="BD39" s="118"/>
      <c r="BE39" s="118"/>
      <c r="BF39" s="118"/>
      <c r="BG39" s="118"/>
      <c r="BH39" s="118"/>
      <c r="BI39" s="118"/>
      <c r="BJ39" s="118"/>
      <c r="BK39" s="118"/>
      <c r="BL39" s="118"/>
      <c r="BM39" s="118"/>
      <c r="BN39" s="118"/>
      <c r="BO39" s="118"/>
      <c r="BP39" s="118"/>
      <c r="BQ39" s="118"/>
      <c r="BR39" s="118"/>
      <c r="BS39" s="118"/>
      <c r="BT39" s="118"/>
      <c r="BU39" s="118"/>
      <c r="BV39" s="118"/>
      <c r="BW39" s="118"/>
      <c r="BX39" s="118"/>
      <c r="BY39" s="118"/>
      <c r="BZ39" s="118"/>
      <c r="CA39" s="118"/>
      <c r="CB39" s="118"/>
      <c r="CC39" s="118"/>
      <c r="CD39" s="118"/>
      <c r="CE39" s="118"/>
      <c r="CF39" s="118"/>
      <c r="CG39" s="118"/>
      <c r="CH39" s="118"/>
      <c r="CI39" s="118"/>
      <c r="CJ39" s="118"/>
      <c r="CK39" s="118"/>
      <c r="CL39" s="118"/>
      <c r="CM39" s="118"/>
      <c r="CN39" s="118"/>
      <c r="CO39" s="118"/>
      <c r="CP39" s="118"/>
      <c r="CQ39" s="118"/>
      <c r="CR39" s="118"/>
      <c r="CS39" s="118"/>
      <c r="CT39" s="118"/>
      <c r="CU39" s="118"/>
      <c r="CV39" s="118"/>
      <c r="CW39" s="118"/>
      <c r="CX39" s="118"/>
      <c r="CY39" s="118"/>
      <c r="CZ39" s="118"/>
      <c r="DA39" s="118"/>
      <c r="DB39" s="118"/>
      <c r="DC39" s="118"/>
      <c r="DD39" s="118"/>
    </row>
    <row r="40" spans="1:121" s="2" customFormat="1" ht="106" customHeight="1" thickBot="1" x14ac:dyDescent="0.25">
      <c r="A40" s="387">
        <v>-1.4589021912386619</v>
      </c>
      <c r="B40" s="132"/>
      <c r="C40" s="171"/>
      <c r="D40" s="177"/>
      <c r="E40" s="122" t="s">
        <v>40</v>
      </c>
      <c r="F40" s="123" t="s">
        <v>40</v>
      </c>
      <c r="G40" s="123" t="s">
        <v>40</v>
      </c>
      <c r="H40" s="123" t="s">
        <v>40</v>
      </c>
      <c r="I40" s="123" t="s">
        <v>40</v>
      </c>
      <c r="J40" s="123" t="s">
        <v>40</v>
      </c>
      <c r="K40" s="123" t="s">
        <v>40</v>
      </c>
      <c r="L40" s="123" t="s">
        <v>40</v>
      </c>
      <c r="M40" s="123" t="s">
        <v>40</v>
      </c>
      <c r="N40" s="123" t="s">
        <v>40</v>
      </c>
      <c r="O40" s="123"/>
      <c r="P40" s="123"/>
      <c r="Q40" s="123"/>
      <c r="R40" s="123"/>
      <c r="S40" s="123"/>
      <c r="T40" s="123"/>
      <c r="U40" s="123"/>
      <c r="V40" s="123"/>
      <c r="W40" s="123"/>
      <c r="X40" s="123"/>
      <c r="Y40" s="123"/>
      <c r="Z40" s="123"/>
      <c r="AA40" s="123"/>
      <c r="AB40" s="123"/>
      <c r="AC40" s="123"/>
      <c r="AD40" s="123"/>
      <c r="AE40" s="123"/>
      <c r="AF40" s="123"/>
      <c r="AG40" s="123"/>
      <c r="AH40" s="123"/>
      <c r="AI40" s="123"/>
      <c r="AJ40" s="123"/>
      <c r="AK40" s="123"/>
      <c r="AL40" s="123"/>
      <c r="AM40" s="123"/>
      <c r="AN40" s="123"/>
      <c r="AO40" s="123"/>
      <c r="AP40" s="123"/>
      <c r="AQ40" s="123"/>
      <c r="AR40" s="123"/>
      <c r="AS40" s="123"/>
      <c r="AT40" s="123"/>
      <c r="AU40" s="123"/>
      <c r="AV40" s="123"/>
      <c r="AW40" s="123"/>
      <c r="AX40" s="123"/>
      <c r="AY40" s="123"/>
      <c r="AZ40" s="123"/>
      <c r="BA40" s="123"/>
      <c r="BB40" s="123"/>
      <c r="BC40" s="123"/>
      <c r="BD40" s="123"/>
      <c r="BE40" s="123"/>
      <c r="BF40" s="123"/>
      <c r="BG40" s="123"/>
      <c r="BH40" s="123"/>
      <c r="BI40" s="123"/>
      <c r="BJ40" s="123"/>
      <c r="BK40" s="123"/>
      <c r="BL40" s="123"/>
      <c r="BM40" s="123"/>
      <c r="BN40" s="123"/>
      <c r="BO40" s="123"/>
      <c r="BP40" s="123"/>
      <c r="BQ40" s="123"/>
      <c r="BR40" s="123"/>
      <c r="BS40" s="123"/>
      <c r="BT40" s="123"/>
      <c r="BU40" s="123"/>
      <c r="BV40" s="123"/>
      <c r="BW40" s="123"/>
      <c r="BX40" s="123"/>
      <c r="BY40" s="123"/>
      <c r="BZ40" s="123"/>
      <c r="CA40" s="123"/>
      <c r="CB40" s="123"/>
      <c r="CC40" s="123"/>
      <c r="CD40" s="123"/>
      <c r="CE40" s="123"/>
      <c r="CF40" s="123"/>
      <c r="CG40" s="123"/>
      <c r="CH40" s="123"/>
      <c r="CI40" s="123"/>
      <c r="CJ40" s="123"/>
      <c r="CK40" s="123"/>
      <c r="CL40" s="123"/>
      <c r="CM40" s="123"/>
      <c r="CN40" s="123"/>
      <c r="CO40" s="123"/>
      <c r="CP40" s="123"/>
      <c r="CQ40" s="123"/>
      <c r="CR40" s="123"/>
      <c r="CS40" s="123"/>
      <c r="CT40" s="123"/>
      <c r="CU40" s="123"/>
      <c r="CV40" s="123"/>
      <c r="CW40" s="123"/>
      <c r="CX40" s="123"/>
      <c r="CY40" s="123"/>
      <c r="CZ40" s="123"/>
      <c r="DA40" s="123"/>
      <c r="DB40" s="123"/>
      <c r="DC40" s="123"/>
      <c r="DD40" s="123"/>
      <c r="DE40" s="155"/>
      <c r="DF40" s="155"/>
      <c r="DG40" s="155"/>
      <c r="DH40" s="155"/>
      <c r="DI40" s="155"/>
      <c r="DJ40" s="155"/>
      <c r="DK40" s="155"/>
      <c r="DL40" s="155"/>
      <c r="DM40" s="155"/>
      <c r="DN40" s="155"/>
      <c r="DO40" s="155"/>
      <c r="DP40" s="155"/>
      <c r="DQ40" s="155"/>
    </row>
    <row r="41" spans="1:121" s="101" customFormat="1" ht="17" thickBot="1" x14ac:dyDescent="0.25">
      <c r="A41" s="388">
        <v>-1.4536606887934211</v>
      </c>
      <c r="B41" s="148"/>
      <c r="C41" s="511" t="s">
        <v>67</v>
      </c>
      <c r="D41" s="512"/>
      <c r="E41" s="121">
        <v>-134.6423482478024</v>
      </c>
      <c r="F41" s="121">
        <v>249.33768194037484</v>
      </c>
      <c r="G41" s="121">
        <v>0</v>
      </c>
      <c r="H41" s="178" t="s">
        <v>40</v>
      </c>
      <c r="I41" s="178" t="s">
        <v>40</v>
      </c>
      <c r="J41" s="178" t="s">
        <v>40</v>
      </c>
      <c r="K41" s="178" t="s">
        <v>40</v>
      </c>
      <c r="L41" s="178" t="s">
        <v>40</v>
      </c>
      <c r="M41" s="178" t="s">
        <v>40</v>
      </c>
      <c r="N41" s="178" t="s">
        <v>40</v>
      </c>
      <c r="O41" s="178"/>
      <c r="P41" s="178"/>
      <c r="Q41" s="178"/>
      <c r="R41" s="178"/>
      <c r="S41" s="178"/>
      <c r="T41" s="178"/>
      <c r="U41" s="178"/>
      <c r="V41" s="178"/>
      <c r="W41" s="178"/>
      <c r="X41" s="178"/>
      <c r="Y41" s="178"/>
      <c r="Z41" s="178"/>
      <c r="AA41" s="178"/>
      <c r="AB41" s="178"/>
      <c r="AC41" s="178"/>
      <c r="AD41" s="178"/>
      <c r="AE41" s="178"/>
      <c r="AF41" s="178"/>
      <c r="AG41" s="178"/>
      <c r="AH41" s="178"/>
      <c r="AI41" s="178"/>
      <c r="AJ41" s="178"/>
      <c r="AK41" s="178"/>
      <c r="AL41" s="178"/>
      <c r="AM41" s="178"/>
      <c r="AN41" s="178"/>
      <c r="AO41" s="178"/>
      <c r="AP41" s="178"/>
      <c r="AQ41" s="178"/>
      <c r="AR41" s="178"/>
      <c r="AS41" s="178"/>
      <c r="AT41" s="178"/>
      <c r="AU41" s="178"/>
      <c r="AV41" s="178"/>
      <c r="AW41" s="178"/>
      <c r="AX41" s="178"/>
      <c r="AY41" s="178"/>
      <c r="AZ41" s="178"/>
      <c r="BA41" s="178"/>
      <c r="BB41" s="178"/>
      <c r="BC41" s="178"/>
      <c r="BD41" s="178"/>
      <c r="BE41" s="178"/>
      <c r="BF41" s="178"/>
      <c r="BG41" s="178"/>
      <c r="BH41" s="178"/>
      <c r="BI41" s="178"/>
      <c r="BJ41" s="178"/>
      <c r="BK41" s="178"/>
      <c r="BL41" s="178"/>
      <c r="BM41" s="178"/>
      <c r="BN41" s="178"/>
      <c r="BO41" s="178"/>
      <c r="BP41" s="178"/>
      <c r="BQ41" s="178"/>
      <c r="BR41" s="178"/>
      <c r="BS41" s="178"/>
      <c r="BT41" s="178"/>
      <c r="BU41" s="178"/>
      <c r="BV41" s="178"/>
      <c r="BW41" s="178"/>
      <c r="BX41" s="178"/>
      <c r="BY41" s="178"/>
      <c r="BZ41" s="178"/>
      <c r="CA41" s="178"/>
      <c r="CB41" s="178"/>
      <c r="CC41" s="178"/>
      <c r="CD41" s="178"/>
      <c r="CE41" s="178"/>
      <c r="CF41" s="178"/>
      <c r="CG41" s="178"/>
      <c r="CH41" s="178"/>
      <c r="CI41" s="178"/>
      <c r="CJ41" s="178"/>
      <c r="CK41" s="178"/>
      <c r="CL41" s="178"/>
      <c r="CM41" s="178"/>
      <c r="CN41" s="178"/>
      <c r="CO41" s="178"/>
      <c r="CP41" s="178"/>
      <c r="CQ41" s="178"/>
      <c r="CR41" s="178"/>
      <c r="CS41" s="178"/>
      <c r="CT41" s="178"/>
      <c r="CU41" s="178"/>
      <c r="CV41" s="178"/>
      <c r="CW41" s="178"/>
      <c r="CX41" s="178"/>
      <c r="CY41" s="178"/>
      <c r="CZ41" s="178"/>
      <c r="DA41" s="178"/>
      <c r="DB41" s="178"/>
      <c r="DC41" s="178"/>
      <c r="DD41" s="178"/>
      <c r="DE41" s="151"/>
      <c r="DF41" s="151"/>
      <c r="DG41" s="151"/>
      <c r="DH41" s="151"/>
      <c r="DI41" s="151"/>
      <c r="DJ41" s="151"/>
      <c r="DK41" s="151"/>
      <c r="DL41" s="151"/>
      <c r="DM41" s="151"/>
      <c r="DN41" s="151"/>
      <c r="DO41" s="151"/>
      <c r="DP41" s="151"/>
      <c r="DQ41" s="151"/>
    </row>
    <row r="42" spans="1:121" s="102" customFormat="1" x14ac:dyDescent="0.2">
      <c r="A42" s="390">
        <v>-1.4487563687071492</v>
      </c>
      <c r="B42" s="162"/>
      <c r="C42" s="493" t="s">
        <v>147</v>
      </c>
      <c r="D42" s="494"/>
      <c r="E42" s="125">
        <v>0</v>
      </c>
      <c r="F42" s="125">
        <v>-208.56552658300359</v>
      </c>
      <c r="G42" s="125">
        <v>0</v>
      </c>
      <c r="H42" s="122" t="s">
        <v>40</v>
      </c>
      <c r="I42" s="122" t="s">
        <v>40</v>
      </c>
      <c r="J42" s="122" t="s">
        <v>40</v>
      </c>
      <c r="K42" s="122" t="s">
        <v>40</v>
      </c>
      <c r="L42" s="122" t="s">
        <v>40</v>
      </c>
      <c r="M42" s="122" t="s">
        <v>40</v>
      </c>
      <c r="N42" s="122" t="s">
        <v>40</v>
      </c>
      <c r="O42" s="122"/>
      <c r="P42" s="122"/>
      <c r="Q42" s="122"/>
      <c r="R42" s="122"/>
      <c r="S42" s="122"/>
      <c r="T42" s="122"/>
      <c r="U42" s="122"/>
      <c r="V42" s="122"/>
      <c r="W42" s="122"/>
      <c r="X42" s="122"/>
      <c r="Y42" s="122"/>
      <c r="Z42" s="122"/>
      <c r="AA42" s="122"/>
      <c r="AB42" s="122"/>
      <c r="AC42" s="122"/>
      <c r="AD42" s="122"/>
      <c r="AE42" s="122"/>
      <c r="AF42" s="122"/>
      <c r="AG42" s="122"/>
      <c r="AH42" s="122"/>
      <c r="AI42" s="122"/>
      <c r="AJ42" s="122"/>
      <c r="AK42" s="122"/>
      <c r="AL42" s="122"/>
      <c r="AM42" s="122"/>
      <c r="AN42" s="122"/>
      <c r="AO42" s="122"/>
      <c r="AP42" s="122"/>
      <c r="AQ42" s="122"/>
      <c r="AR42" s="122"/>
      <c r="AS42" s="122"/>
      <c r="AT42" s="122"/>
      <c r="AU42" s="122"/>
      <c r="AV42" s="122"/>
      <c r="AW42" s="122"/>
      <c r="AX42" s="122"/>
      <c r="AY42" s="122"/>
      <c r="AZ42" s="122"/>
      <c r="BA42" s="122"/>
      <c r="BB42" s="122"/>
      <c r="BC42" s="122"/>
      <c r="BD42" s="122"/>
      <c r="BE42" s="122"/>
      <c r="BF42" s="122"/>
      <c r="BG42" s="122"/>
      <c r="BH42" s="122"/>
      <c r="BI42" s="122"/>
      <c r="BJ42" s="122"/>
      <c r="BK42" s="122"/>
      <c r="BL42" s="122"/>
      <c r="BM42" s="122"/>
      <c r="BN42" s="122"/>
      <c r="BO42" s="122"/>
      <c r="BP42" s="122"/>
      <c r="BQ42" s="122"/>
      <c r="BR42" s="122"/>
      <c r="BS42" s="122"/>
      <c r="BT42" s="122"/>
      <c r="BU42" s="122"/>
      <c r="BV42" s="122"/>
      <c r="BW42" s="122"/>
      <c r="BX42" s="122"/>
      <c r="BY42" s="122"/>
      <c r="BZ42" s="122"/>
      <c r="CA42" s="122"/>
      <c r="CB42" s="122"/>
      <c r="CC42" s="122"/>
      <c r="CD42" s="122"/>
      <c r="CE42" s="122"/>
      <c r="CF42" s="122"/>
      <c r="CG42" s="122"/>
      <c r="CH42" s="122"/>
      <c r="CI42" s="122"/>
      <c r="CJ42" s="122"/>
      <c r="CK42" s="122"/>
      <c r="CL42" s="122"/>
      <c r="CM42" s="122"/>
      <c r="CN42" s="122"/>
      <c r="CO42" s="122"/>
      <c r="CP42" s="122"/>
      <c r="CQ42" s="122"/>
      <c r="CR42" s="122"/>
      <c r="CS42" s="122"/>
      <c r="CT42" s="122"/>
      <c r="CU42" s="122"/>
      <c r="CV42" s="122"/>
      <c r="CW42" s="122"/>
      <c r="CX42" s="122"/>
      <c r="CY42" s="122"/>
      <c r="CZ42" s="122"/>
      <c r="DA42" s="122"/>
      <c r="DB42" s="122"/>
      <c r="DC42" s="122"/>
      <c r="DD42" s="122"/>
      <c r="DE42" s="165"/>
      <c r="DF42" s="165"/>
      <c r="DG42" s="165"/>
      <c r="DH42" s="165"/>
      <c r="DI42" s="165"/>
      <c r="DJ42" s="165"/>
      <c r="DK42" s="165"/>
      <c r="DL42" s="165"/>
      <c r="DM42" s="165"/>
      <c r="DN42" s="165"/>
      <c r="DO42" s="165"/>
      <c r="DP42" s="165"/>
      <c r="DQ42" s="165"/>
    </row>
    <row r="43" spans="1:121" s="42" customFormat="1" ht="17" thickBot="1" x14ac:dyDescent="0.25">
      <c r="A43" s="390">
        <v>-1.4425699081023153</v>
      </c>
      <c r="B43" s="127"/>
      <c r="C43" s="179"/>
      <c r="D43" s="180"/>
      <c r="E43" s="122" t="s">
        <v>40</v>
      </c>
      <c r="F43" s="123" t="s">
        <v>40</v>
      </c>
      <c r="G43" s="123" t="s">
        <v>40</v>
      </c>
      <c r="H43" s="123" t="s">
        <v>40</v>
      </c>
      <c r="I43" s="123" t="s">
        <v>40</v>
      </c>
      <c r="J43" s="123" t="s">
        <v>40</v>
      </c>
      <c r="K43" s="123" t="s">
        <v>40</v>
      </c>
      <c r="L43" s="123" t="s">
        <v>40</v>
      </c>
      <c r="M43" s="123" t="s">
        <v>40</v>
      </c>
      <c r="N43" s="123" t="s">
        <v>40</v>
      </c>
      <c r="O43" s="123"/>
      <c r="P43" s="123"/>
      <c r="Q43" s="123"/>
      <c r="R43" s="123"/>
      <c r="S43" s="123"/>
      <c r="T43" s="123"/>
      <c r="U43" s="123"/>
      <c r="V43" s="123"/>
      <c r="W43" s="123"/>
      <c r="X43" s="123"/>
      <c r="Y43" s="123"/>
      <c r="Z43" s="123"/>
      <c r="AA43" s="123"/>
      <c r="AB43" s="123"/>
      <c r="AC43" s="123"/>
      <c r="AD43" s="123"/>
      <c r="AE43" s="123"/>
      <c r="AF43" s="123"/>
      <c r="AG43" s="123"/>
      <c r="AH43" s="123"/>
      <c r="AI43" s="123"/>
      <c r="AJ43" s="123"/>
      <c r="AK43" s="123"/>
      <c r="AL43" s="123"/>
      <c r="AM43" s="123"/>
      <c r="AN43" s="123"/>
      <c r="AO43" s="123"/>
      <c r="AP43" s="123"/>
      <c r="AQ43" s="123"/>
      <c r="AR43" s="123"/>
      <c r="AS43" s="123"/>
      <c r="AT43" s="123"/>
      <c r="AU43" s="123"/>
      <c r="AV43" s="123"/>
      <c r="AW43" s="123"/>
      <c r="AX43" s="123"/>
      <c r="AY43" s="123"/>
      <c r="AZ43" s="123"/>
      <c r="BA43" s="123"/>
      <c r="BB43" s="123"/>
      <c r="BC43" s="123"/>
      <c r="BD43" s="123"/>
      <c r="BE43" s="123"/>
      <c r="BF43" s="123"/>
      <c r="BG43" s="123"/>
      <c r="BH43" s="123"/>
      <c r="BI43" s="123"/>
      <c r="BJ43" s="123"/>
      <c r="BK43" s="123"/>
      <c r="BL43" s="123"/>
      <c r="BM43" s="123"/>
      <c r="BN43" s="123"/>
      <c r="BO43" s="123"/>
      <c r="BP43" s="123"/>
      <c r="BQ43" s="123"/>
      <c r="BR43" s="123"/>
      <c r="BS43" s="123"/>
      <c r="BT43" s="123"/>
      <c r="BU43" s="123"/>
      <c r="BV43" s="123"/>
      <c r="BW43" s="123"/>
      <c r="BX43" s="123"/>
      <c r="BY43" s="123"/>
      <c r="BZ43" s="123"/>
      <c r="CA43" s="123"/>
      <c r="CB43" s="123"/>
      <c r="CC43" s="123"/>
      <c r="CD43" s="123"/>
      <c r="CE43" s="123"/>
      <c r="CF43" s="123"/>
      <c r="CG43" s="123"/>
      <c r="CH43" s="123"/>
      <c r="CI43" s="123"/>
      <c r="CJ43" s="123"/>
      <c r="CK43" s="123"/>
      <c r="CL43" s="123"/>
      <c r="CM43" s="123"/>
      <c r="CN43" s="123"/>
      <c r="CO43" s="123"/>
      <c r="CP43" s="123"/>
      <c r="CQ43" s="123"/>
      <c r="CR43" s="123"/>
      <c r="CS43" s="123"/>
      <c r="CT43" s="123"/>
      <c r="CU43" s="123"/>
      <c r="CV43" s="123"/>
      <c r="CW43" s="123"/>
      <c r="CX43" s="123"/>
      <c r="CY43" s="123"/>
      <c r="CZ43" s="123"/>
      <c r="DA43" s="123"/>
      <c r="DB43" s="123"/>
      <c r="DC43" s="123"/>
      <c r="DD43" s="123"/>
      <c r="DE43" s="123"/>
      <c r="DF43" s="123"/>
      <c r="DG43" s="123"/>
      <c r="DH43" s="123"/>
      <c r="DI43" s="123"/>
      <c r="DJ43" s="123"/>
      <c r="DK43" s="123"/>
      <c r="DL43" s="123"/>
      <c r="DM43" s="123"/>
      <c r="DN43" s="123"/>
      <c r="DO43" s="123"/>
      <c r="DP43" s="123"/>
      <c r="DQ43" s="123"/>
    </row>
    <row r="44" spans="1:121" s="51" customFormat="1" ht="17" thickBot="1" x14ac:dyDescent="0.25">
      <c r="A44" s="387">
        <v>-1.3956921400271205</v>
      </c>
      <c r="B44" s="156"/>
      <c r="C44" s="511" t="s">
        <v>44</v>
      </c>
      <c r="D44" s="512"/>
      <c r="E44" s="124">
        <v>0.53996354562308468</v>
      </c>
      <c r="F44" s="124">
        <v>-0.56898759189359593</v>
      </c>
      <c r="G44" s="124">
        <v>1</v>
      </c>
      <c r="H44" s="160" t="s">
        <v>40</v>
      </c>
      <c r="I44" s="160" t="s">
        <v>40</v>
      </c>
      <c r="J44" s="160" t="s">
        <v>40</v>
      </c>
      <c r="K44" s="160" t="s">
        <v>40</v>
      </c>
      <c r="L44" s="160" t="s">
        <v>40</v>
      </c>
      <c r="M44" s="160" t="s">
        <v>40</v>
      </c>
      <c r="N44" s="160" t="s">
        <v>40</v>
      </c>
      <c r="O44" s="160"/>
      <c r="P44" s="160"/>
      <c r="Q44" s="160"/>
      <c r="R44" s="160"/>
      <c r="S44" s="160"/>
      <c r="T44" s="160"/>
      <c r="U44" s="160"/>
      <c r="V44" s="160"/>
      <c r="W44" s="160"/>
      <c r="X44" s="160"/>
      <c r="Y44" s="160"/>
      <c r="Z44" s="160"/>
      <c r="AA44" s="160"/>
      <c r="AB44" s="160"/>
      <c r="AC44" s="160"/>
      <c r="AD44" s="160"/>
      <c r="AE44" s="160"/>
      <c r="AF44" s="160"/>
      <c r="AG44" s="160"/>
      <c r="AH44" s="160"/>
      <c r="AI44" s="160"/>
      <c r="AJ44" s="160"/>
      <c r="AK44" s="160"/>
      <c r="AL44" s="160"/>
      <c r="AM44" s="160"/>
      <c r="AN44" s="160"/>
      <c r="AO44" s="160"/>
      <c r="AP44" s="160"/>
      <c r="AQ44" s="160"/>
      <c r="AR44" s="160"/>
      <c r="AS44" s="160"/>
      <c r="AT44" s="160"/>
      <c r="AU44" s="160"/>
      <c r="AV44" s="160"/>
      <c r="AW44" s="160"/>
      <c r="AX44" s="160"/>
      <c r="AY44" s="160"/>
      <c r="AZ44" s="160"/>
      <c r="BA44" s="160"/>
      <c r="BB44" s="160"/>
      <c r="BC44" s="160"/>
      <c r="BD44" s="160"/>
      <c r="BE44" s="160"/>
      <c r="BF44" s="160"/>
      <c r="BG44" s="160"/>
      <c r="BH44" s="160"/>
      <c r="BI44" s="160"/>
      <c r="BJ44" s="160"/>
      <c r="BK44" s="160"/>
      <c r="BL44" s="160"/>
      <c r="BM44" s="160"/>
      <c r="BN44" s="160"/>
      <c r="BO44" s="160"/>
      <c r="BP44" s="160"/>
      <c r="BQ44" s="160"/>
      <c r="BR44" s="160"/>
      <c r="BS44" s="160"/>
      <c r="BT44" s="160"/>
      <c r="BU44" s="160"/>
      <c r="BV44" s="160"/>
      <c r="BW44" s="160"/>
      <c r="BX44" s="160"/>
      <c r="BY44" s="160"/>
      <c r="BZ44" s="160"/>
      <c r="CA44" s="160"/>
      <c r="CB44" s="160"/>
      <c r="CC44" s="160"/>
      <c r="CD44" s="160"/>
      <c r="CE44" s="160"/>
      <c r="CF44" s="160"/>
      <c r="CG44" s="160"/>
      <c r="CH44" s="160"/>
      <c r="CI44" s="160"/>
      <c r="CJ44" s="160"/>
      <c r="CK44" s="160"/>
      <c r="CL44" s="160"/>
      <c r="CM44" s="160"/>
      <c r="CN44" s="160"/>
      <c r="CO44" s="160"/>
      <c r="CP44" s="160"/>
      <c r="CQ44" s="160"/>
      <c r="CR44" s="160"/>
      <c r="CS44" s="160"/>
      <c r="CT44" s="160"/>
      <c r="CU44" s="160"/>
      <c r="CV44" s="160"/>
      <c r="CW44" s="160"/>
      <c r="CX44" s="160"/>
      <c r="CY44" s="160"/>
      <c r="CZ44" s="160"/>
      <c r="DA44" s="160"/>
      <c r="DB44" s="160"/>
      <c r="DC44" s="160"/>
      <c r="DD44" s="160"/>
      <c r="DE44" s="161"/>
      <c r="DF44" s="161"/>
      <c r="DG44" s="161"/>
      <c r="DH44" s="161"/>
      <c r="DI44" s="161"/>
      <c r="DJ44" s="161"/>
      <c r="DK44" s="161"/>
      <c r="DL44" s="161"/>
      <c r="DM44" s="161"/>
      <c r="DN44" s="161"/>
      <c r="DO44" s="161"/>
      <c r="DP44" s="161"/>
      <c r="DQ44" s="161"/>
    </row>
    <row r="45" spans="1:121" s="102" customFormat="1" ht="17" thickBot="1" x14ac:dyDescent="0.25">
      <c r="A45" s="390">
        <v>-1.3928333457813138</v>
      </c>
      <c r="B45" s="162"/>
      <c r="C45" s="511" t="s">
        <v>45</v>
      </c>
      <c r="D45" s="512"/>
      <c r="E45" s="125">
        <v>6.9227640468468687E-2</v>
      </c>
      <c r="F45" s="125">
        <v>-3.9568192433283064E-2</v>
      </c>
      <c r="G45" s="125">
        <v>0</v>
      </c>
      <c r="H45" s="122" t="s">
        <v>40</v>
      </c>
      <c r="I45" s="122" t="s">
        <v>40</v>
      </c>
      <c r="J45" s="122" t="s">
        <v>40</v>
      </c>
      <c r="K45" s="122" t="s">
        <v>40</v>
      </c>
      <c r="L45" s="122" t="s">
        <v>40</v>
      </c>
      <c r="M45" s="122" t="s">
        <v>40</v>
      </c>
      <c r="N45" s="122" t="s">
        <v>40</v>
      </c>
      <c r="O45" s="122"/>
      <c r="P45" s="122"/>
      <c r="Q45" s="122"/>
      <c r="R45" s="122"/>
      <c r="S45" s="122"/>
      <c r="T45" s="122"/>
      <c r="U45" s="122"/>
      <c r="V45" s="122"/>
      <c r="W45" s="122"/>
      <c r="X45" s="122"/>
      <c r="Y45" s="122"/>
      <c r="Z45" s="122"/>
      <c r="AA45" s="122"/>
      <c r="AB45" s="122"/>
      <c r="AC45" s="122"/>
      <c r="AD45" s="122"/>
      <c r="AE45" s="122"/>
      <c r="AF45" s="122"/>
      <c r="AG45" s="122"/>
      <c r="AH45" s="122"/>
      <c r="AI45" s="122"/>
      <c r="AJ45" s="122"/>
      <c r="AK45" s="122"/>
      <c r="AL45" s="122"/>
      <c r="AM45" s="122"/>
      <c r="AN45" s="122"/>
      <c r="AO45" s="122"/>
      <c r="AP45" s="122"/>
      <c r="AQ45" s="122"/>
      <c r="AR45" s="122"/>
      <c r="AS45" s="122"/>
      <c r="AT45" s="122"/>
      <c r="AU45" s="122"/>
      <c r="AV45" s="122"/>
      <c r="AW45" s="122"/>
      <c r="AX45" s="122"/>
      <c r="AY45" s="122"/>
      <c r="AZ45" s="122"/>
      <c r="BA45" s="122"/>
      <c r="BB45" s="122"/>
      <c r="BC45" s="122"/>
      <c r="BD45" s="122"/>
      <c r="BE45" s="122"/>
      <c r="BF45" s="122"/>
      <c r="BG45" s="122"/>
      <c r="BH45" s="122"/>
      <c r="BI45" s="122"/>
      <c r="BJ45" s="122"/>
      <c r="BK45" s="122"/>
      <c r="BL45" s="122"/>
      <c r="BM45" s="122"/>
      <c r="BN45" s="122"/>
      <c r="BO45" s="122"/>
      <c r="BP45" s="122"/>
      <c r="BQ45" s="122"/>
      <c r="BR45" s="122"/>
      <c r="BS45" s="122"/>
      <c r="BT45" s="122"/>
      <c r="BU45" s="122"/>
      <c r="BV45" s="122"/>
      <c r="BW45" s="122"/>
      <c r="BX45" s="122"/>
      <c r="BY45" s="122"/>
      <c r="BZ45" s="122"/>
      <c r="CA45" s="122"/>
      <c r="CB45" s="122"/>
      <c r="CC45" s="122"/>
      <c r="CD45" s="122"/>
      <c r="CE45" s="122"/>
      <c r="CF45" s="122"/>
      <c r="CG45" s="122"/>
      <c r="CH45" s="122"/>
      <c r="CI45" s="122"/>
      <c r="CJ45" s="122"/>
      <c r="CK45" s="122"/>
      <c r="CL45" s="122"/>
      <c r="CM45" s="122"/>
      <c r="CN45" s="122"/>
      <c r="CO45" s="122"/>
      <c r="CP45" s="122"/>
      <c r="CQ45" s="122"/>
      <c r="CR45" s="122"/>
      <c r="CS45" s="122"/>
      <c r="CT45" s="122"/>
      <c r="CU45" s="122"/>
      <c r="CV45" s="122"/>
      <c r="CW45" s="122"/>
      <c r="CX45" s="122"/>
      <c r="CY45" s="122"/>
      <c r="CZ45" s="122"/>
      <c r="DA45" s="122"/>
      <c r="DB45" s="122"/>
      <c r="DC45" s="122"/>
      <c r="DD45" s="122"/>
      <c r="DE45" s="165"/>
      <c r="DF45" s="165"/>
      <c r="DG45" s="165"/>
      <c r="DH45" s="165"/>
      <c r="DI45" s="165"/>
      <c r="DJ45" s="165"/>
      <c r="DK45" s="165"/>
      <c r="DL45" s="165"/>
      <c r="DM45" s="165"/>
      <c r="DN45" s="165"/>
      <c r="DO45" s="165"/>
      <c r="DP45" s="165"/>
      <c r="DQ45" s="165"/>
    </row>
    <row r="46" spans="1:121" s="102" customFormat="1" ht="17" thickBot="1" x14ac:dyDescent="0.25">
      <c r="A46" s="390">
        <v>-1.3823919386148105</v>
      </c>
      <c r="B46" s="162"/>
      <c r="C46" s="511" t="s">
        <v>46</v>
      </c>
      <c r="D46" s="512"/>
      <c r="E46" s="125">
        <v>0.11379886104405812</v>
      </c>
      <c r="F46" s="125">
        <v>-0.1951308119997521</v>
      </c>
      <c r="G46" s="125">
        <v>0</v>
      </c>
      <c r="H46" s="122" t="s">
        <v>40</v>
      </c>
      <c r="I46" s="122" t="s">
        <v>40</v>
      </c>
      <c r="J46" s="122" t="s">
        <v>40</v>
      </c>
      <c r="K46" s="122" t="s">
        <v>40</v>
      </c>
      <c r="L46" s="122" t="s">
        <v>40</v>
      </c>
      <c r="M46" s="122" t="s">
        <v>40</v>
      </c>
      <c r="N46" s="122" t="s">
        <v>40</v>
      </c>
      <c r="O46" s="122"/>
      <c r="P46" s="122"/>
      <c r="Q46" s="122"/>
      <c r="R46" s="122"/>
      <c r="S46" s="122"/>
      <c r="T46" s="122"/>
      <c r="U46" s="122"/>
      <c r="V46" s="122"/>
      <c r="W46" s="122"/>
      <c r="X46" s="122"/>
      <c r="Y46" s="122"/>
      <c r="Z46" s="122"/>
      <c r="AA46" s="122"/>
      <c r="AB46" s="122"/>
      <c r="AC46" s="122"/>
      <c r="AD46" s="122"/>
      <c r="AE46" s="122"/>
      <c r="AF46" s="122"/>
      <c r="AG46" s="122"/>
      <c r="AH46" s="122"/>
      <c r="AI46" s="122"/>
      <c r="AJ46" s="122"/>
      <c r="AK46" s="122"/>
      <c r="AL46" s="122"/>
      <c r="AM46" s="122"/>
      <c r="AN46" s="122"/>
      <c r="AO46" s="122"/>
      <c r="AP46" s="122"/>
      <c r="AQ46" s="122"/>
      <c r="AR46" s="122"/>
      <c r="AS46" s="122"/>
      <c r="AT46" s="122"/>
      <c r="AU46" s="122"/>
      <c r="AV46" s="122"/>
      <c r="AW46" s="122"/>
      <c r="AX46" s="122"/>
      <c r="AY46" s="122"/>
      <c r="AZ46" s="122"/>
      <c r="BA46" s="122"/>
      <c r="BB46" s="122"/>
      <c r="BC46" s="122"/>
      <c r="BD46" s="122"/>
      <c r="BE46" s="122"/>
      <c r="BF46" s="122"/>
      <c r="BG46" s="122"/>
      <c r="BH46" s="122"/>
      <c r="BI46" s="122"/>
      <c r="BJ46" s="122"/>
      <c r="BK46" s="122"/>
      <c r="BL46" s="122"/>
      <c r="BM46" s="122"/>
      <c r="BN46" s="122"/>
      <c r="BO46" s="122"/>
      <c r="BP46" s="122"/>
      <c r="BQ46" s="122"/>
      <c r="BR46" s="122"/>
      <c r="BS46" s="122"/>
      <c r="BT46" s="122"/>
      <c r="BU46" s="122"/>
      <c r="BV46" s="122"/>
      <c r="BW46" s="122"/>
      <c r="BX46" s="122"/>
      <c r="BY46" s="122"/>
      <c r="BZ46" s="122"/>
      <c r="CA46" s="122"/>
      <c r="CB46" s="122"/>
      <c r="CC46" s="122"/>
      <c r="CD46" s="122"/>
      <c r="CE46" s="122"/>
      <c r="CF46" s="122"/>
      <c r="CG46" s="122"/>
      <c r="CH46" s="122"/>
      <c r="CI46" s="122"/>
      <c r="CJ46" s="122"/>
      <c r="CK46" s="122"/>
      <c r="CL46" s="122"/>
      <c r="CM46" s="122"/>
      <c r="CN46" s="122"/>
      <c r="CO46" s="122"/>
      <c r="CP46" s="122"/>
      <c r="CQ46" s="122"/>
      <c r="CR46" s="122"/>
      <c r="CS46" s="122"/>
      <c r="CT46" s="122"/>
      <c r="CU46" s="122"/>
      <c r="CV46" s="122"/>
      <c r="CW46" s="122"/>
      <c r="CX46" s="122"/>
      <c r="CY46" s="122"/>
      <c r="CZ46" s="122"/>
      <c r="DA46" s="122"/>
      <c r="DB46" s="122"/>
      <c r="DC46" s="122"/>
      <c r="DD46" s="122"/>
      <c r="DE46" s="165"/>
      <c r="DF46" s="165"/>
      <c r="DG46" s="165"/>
      <c r="DH46" s="165"/>
      <c r="DI46" s="165"/>
      <c r="DJ46" s="165"/>
      <c r="DK46" s="165"/>
      <c r="DL46" s="165"/>
      <c r="DM46" s="165"/>
      <c r="DN46" s="165"/>
      <c r="DO46" s="165"/>
      <c r="DP46" s="165"/>
      <c r="DQ46" s="165"/>
    </row>
    <row r="47" spans="1:121" s="102" customFormat="1" ht="17" thickBot="1" x14ac:dyDescent="0.25">
      <c r="A47" s="387">
        <v>-1.3747788406179899</v>
      </c>
      <c r="B47" s="162"/>
      <c r="C47" s="511" t="s">
        <v>47</v>
      </c>
      <c r="D47" s="512"/>
      <c r="E47" s="125">
        <v>-4.4988156111887605E-2</v>
      </c>
      <c r="F47" s="125">
        <v>2.8848287237980559E-2</v>
      </c>
      <c r="G47" s="125">
        <v>0</v>
      </c>
      <c r="H47" s="122" t="s">
        <v>40</v>
      </c>
      <c r="I47" s="122" t="s">
        <v>40</v>
      </c>
      <c r="J47" s="122" t="s">
        <v>40</v>
      </c>
      <c r="K47" s="122" t="s">
        <v>40</v>
      </c>
      <c r="L47" s="122" t="s">
        <v>40</v>
      </c>
      <c r="M47" s="122" t="s">
        <v>40</v>
      </c>
      <c r="N47" s="122" t="s">
        <v>40</v>
      </c>
      <c r="O47" s="122"/>
      <c r="P47" s="122"/>
      <c r="Q47" s="122"/>
      <c r="R47" s="122"/>
      <c r="S47" s="122"/>
      <c r="T47" s="122"/>
      <c r="U47" s="122"/>
      <c r="V47" s="122"/>
      <c r="W47" s="122"/>
      <c r="X47" s="122"/>
      <c r="Y47" s="122"/>
      <c r="Z47" s="122"/>
      <c r="AA47" s="122"/>
      <c r="AB47" s="122"/>
      <c r="AC47" s="122"/>
      <c r="AD47" s="122"/>
      <c r="AE47" s="122"/>
      <c r="AF47" s="122"/>
      <c r="AG47" s="122"/>
      <c r="AH47" s="122"/>
      <c r="AI47" s="122"/>
      <c r="AJ47" s="122"/>
      <c r="AK47" s="122"/>
      <c r="AL47" s="122"/>
      <c r="AM47" s="122"/>
      <c r="AN47" s="122"/>
      <c r="AO47" s="122"/>
      <c r="AP47" s="122"/>
      <c r="AQ47" s="122"/>
      <c r="AR47" s="122"/>
      <c r="AS47" s="122"/>
      <c r="AT47" s="122"/>
      <c r="AU47" s="122"/>
      <c r="AV47" s="122"/>
      <c r="AW47" s="122"/>
      <c r="AX47" s="122"/>
      <c r="AY47" s="122"/>
      <c r="AZ47" s="122"/>
      <c r="BA47" s="122"/>
      <c r="BB47" s="122"/>
      <c r="BC47" s="122"/>
      <c r="BD47" s="122"/>
      <c r="BE47" s="122"/>
      <c r="BF47" s="122"/>
      <c r="BG47" s="122"/>
      <c r="BH47" s="122"/>
      <c r="BI47" s="122"/>
      <c r="BJ47" s="122"/>
      <c r="BK47" s="122"/>
      <c r="BL47" s="122"/>
      <c r="BM47" s="122"/>
      <c r="BN47" s="122"/>
      <c r="BO47" s="122"/>
      <c r="BP47" s="122"/>
      <c r="BQ47" s="122"/>
      <c r="BR47" s="122"/>
      <c r="BS47" s="122"/>
      <c r="BT47" s="122"/>
      <c r="BU47" s="122"/>
      <c r="BV47" s="122"/>
      <c r="BW47" s="122"/>
      <c r="BX47" s="122"/>
      <c r="BY47" s="122"/>
      <c r="BZ47" s="122"/>
      <c r="CA47" s="122"/>
      <c r="CB47" s="122"/>
      <c r="CC47" s="122"/>
      <c r="CD47" s="122"/>
      <c r="CE47" s="122"/>
      <c r="CF47" s="122"/>
      <c r="CG47" s="122"/>
      <c r="CH47" s="122"/>
      <c r="CI47" s="122"/>
      <c r="CJ47" s="122"/>
      <c r="CK47" s="122"/>
      <c r="CL47" s="122"/>
      <c r="CM47" s="122"/>
      <c r="CN47" s="122"/>
      <c r="CO47" s="122"/>
      <c r="CP47" s="122"/>
      <c r="CQ47" s="122"/>
      <c r="CR47" s="122"/>
      <c r="CS47" s="122"/>
      <c r="CT47" s="122"/>
      <c r="CU47" s="122"/>
      <c r="CV47" s="122"/>
      <c r="CW47" s="122"/>
      <c r="CX47" s="122"/>
      <c r="CY47" s="122"/>
      <c r="CZ47" s="122"/>
      <c r="DA47" s="122"/>
      <c r="DB47" s="122"/>
      <c r="DC47" s="122"/>
      <c r="DD47" s="122"/>
      <c r="DE47" s="165"/>
      <c r="DF47" s="165"/>
      <c r="DG47" s="165"/>
      <c r="DH47" s="165"/>
      <c r="DI47" s="165"/>
      <c r="DJ47" s="165"/>
      <c r="DK47" s="165"/>
      <c r="DL47" s="165"/>
      <c r="DM47" s="165"/>
      <c r="DN47" s="165"/>
      <c r="DO47" s="165"/>
      <c r="DP47" s="165"/>
      <c r="DQ47" s="165"/>
    </row>
    <row r="48" spans="1:121" s="103" customFormat="1" ht="17" thickBot="1" x14ac:dyDescent="0.25">
      <c r="A48" s="387">
        <v>-1.3518739438274223</v>
      </c>
      <c r="B48" s="167"/>
      <c r="C48" s="520" t="s">
        <v>48</v>
      </c>
      <c r="D48" s="521"/>
      <c r="E48" s="126">
        <v>4.2331214583209355E-2</v>
      </c>
      <c r="F48" s="126">
        <v>-0.12900754628414582</v>
      </c>
      <c r="G48" s="126">
        <v>0</v>
      </c>
      <c r="H48" s="169" t="s">
        <v>40</v>
      </c>
      <c r="I48" s="169" t="s">
        <v>40</v>
      </c>
      <c r="J48" s="169" t="s">
        <v>40</v>
      </c>
      <c r="K48" s="169" t="s">
        <v>40</v>
      </c>
      <c r="L48" s="169" t="s">
        <v>40</v>
      </c>
      <c r="M48" s="169" t="s">
        <v>40</v>
      </c>
      <c r="N48" s="169" t="s">
        <v>40</v>
      </c>
      <c r="O48" s="169"/>
      <c r="P48" s="169"/>
      <c r="Q48" s="169"/>
      <c r="R48" s="169"/>
      <c r="S48" s="169"/>
      <c r="T48" s="169"/>
      <c r="U48" s="169"/>
      <c r="V48" s="169"/>
      <c r="W48" s="169"/>
      <c r="X48" s="169"/>
      <c r="Y48" s="169"/>
      <c r="Z48" s="169"/>
      <c r="AA48" s="169"/>
      <c r="AB48" s="169"/>
      <c r="AC48" s="169"/>
      <c r="AD48" s="169"/>
      <c r="AE48" s="169"/>
      <c r="AF48" s="169"/>
      <c r="AG48" s="169"/>
      <c r="AH48" s="169"/>
      <c r="AI48" s="169"/>
      <c r="AJ48" s="169"/>
      <c r="AK48" s="169"/>
      <c r="AL48" s="169"/>
      <c r="AM48" s="169"/>
      <c r="AN48" s="169"/>
      <c r="AO48" s="169"/>
      <c r="AP48" s="169"/>
      <c r="AQ48" s="169"/>
      <c r="AR48" s="169"/>
      <c r="AS48" s="169"/>
      <c r="AT48" s="169"/>
      <c r="AU48" s="169"/>
      <c r="AV48" s="169"/>
      <c r="AW48" s="169"/>
      <c r="AX48" s="169"/>
      <c r="AY48" s="169"/>
      <c r="AZ48" s="169"/>
      <c r="BA48" s="169"/>
      <c r="BB48" s="169"/>
      <c r="BC48" s="169"/>
      <c r="BD48" s="169"/>
      <c r="BE48" s="169"/>
      <c r="BF48" s="169"/>
      <c r="BG48" s="169"/>
      <c r="BH48" s="169"/>
      <c r="BI48" s="169"/>
      <c r="BJ48" s="169"/>
      <c r="BK48" s="169"/>
      <c r="BL48" s="169"/>
      <c r="BM48" s="169"/>
      <c r="BN48" s="169"/>
      <c r="BO48" s="169"/>
      <c r="BP48" s="169"/>
      <c r="BQ48" s="169"/>
      <c r="BR48" s="169"/>
      <c r="BS48" s="169"/>
      <c r="BT48" s="169"/>
      <c r="BU48" s="169"/>
      <c r="BV48" s="169"/>
      <c r="BW48" s="169"/>
      <c r="BX48" s="169"/>
      <c r="BY48" s="169"/>
      <c r="BZ48" s="169"/>
      <c r="CA48" s="169"/>
      <c r="CB48" s="169"/>
      <c r="CC48" s="169"/>
      <c r="CD48" s="169"/>
      <c r="CE48" s="169"/>
      <c r="CF48" s="169"/>
      <c r="CG48" s="169"/>
      <c r="CH48" s="169"/>
      <c r="CI48" s="169"/>
      <c r="CJ48" s="169"/>
      <c r="CK48" s="169"/>
      <c r="CL48" s="169"/>
      <c r="CM48" s="169"/>
      <c r="CN48" s="169"/>
      <c r="CO48" s="169"/>
      <c r="CP48" s="169"/>
      <c r="CQ48" s="169"/>
      <c r="CR48" s="169"/>
      <c r="CS48" s="169"/>
      <c r="CT48" s="169"/>
      <c r="CU48" s="169"/>
      <c r="CV48" s="169"/>
      <c r="CW48" s="169"/>
      <c r="CX48" s="169"/>
      <c r="CY48" s="169"/>
      <c r="CZ48" s="169"/>
      <c r="DA48" s="169"/>
      <c r="DB48" s="169"/>
      <c r="DC48" s="169"/>
      <c r="DD48" s="169"/>
      <c r="DE48" s="170"/>
      <c r="DF48" s="170"/>
      <c r="DG48" s="170"/>
      <c r="DH48" s="170"/>
      <c r="DI48" s="170"/>
      <c r="DJ48" s="170"/>
      <c r="DK48" s="170"/>
      <c r="DL48" s="170"/>
      <c r="DM48" s="170"/>
      <c r="DN48" s="170"/>
      <c r="DO48" s="170"/>
      <c r="DP48" s="170"/>
      <c r="DQ48" s="170"/>
    </row>
    <row r="49" spans="1:121" ht="17" thickBot="1" x14ac:dyDescent="0.25">
      <c r="A49" s="387">
        <v>-1.3255375755019911</v>
      </c>
      <c r="B49" s="132"/>
      <c r="C49" s="132"/>
      <c r="D49" s="132"/>
      <c r="E49" s="127" t="s">
        <v>40</v>
      </c>
      <c r="F49" s="127" t="s">
        <v>40</v>
      </c>
      <c r="G49" s="127" t="s">
        <v>40</v>
      </c>
      <c r="H49" s="127" t="s">
        <v>40</v>
      </c>
      <c r="I49" s="127" t="s">
        <v>40</v>
      </c>
      <c r="J49" s="127" t="s">
        <v>40</v>
      </c>
      <c r="K49" s="127" t="s">
        <v>40</v>
      </c>
      <c r="L49" s="127" t="s">
        <v>40</v>
      </c>
      <c r="M49" s="127" t="s">
        <v>40</v>
      </c>
      <c r="N49" s="127" t="s">
        <v>40</v>
      </c>
      <c r="O49" s="127"/>
      <c r="P49" s="127"/>
      <c r="Q49" s="127"/>
      <c r="R49" s="127"/>
      <c r="S49" s="127"/>
      <c r="T49" s="127"/>
      <c r="U49" s="127"/>
      <c r="V49" s="127"/>
      <c r="W49" s="127"/>
      <c r="X49" s="127"/>
      <c r="Y49" s="127"/>
      <c r="Z49" s="127"/>
      <c r="AA49" s="127"/>
      <c r="AB49" s="127"/>
      <c r="AC49" s="127"/>
      <c r="AD49" s="127"/>
      <c r="AE49" s="127"/>
      <c r="AF49" s="127"/>
      <c r="AG49" s="127"/>
      <c r="AH49" s="127"/>
      <c r="AI49" s="127"/>
      <c r="AJ49" s="127"/>
      <c r="AK49" s="127"/>
      <c r="AL49" s="127"/>
      <c r="AM49" s="127"/>
      <c r="AN49" s="127"/>
      <c r="AO49" s="127"/>
      <c r="AP49" s="127"/>
      <c r="AQ49" s="127"/>
      <c r="AR49" s="127"/>
      <c r="AS49" s="127"/>
      <c r="AT49" s="127"/>
      <c r="AU49" s="127"/>
      <c r="AV49" s="127"/>
      <c r="AW49" s="127"/>
      <c r="AX49" s="127"/>
      <c r="AY49" s="127"/>
      <c r="AZ49" s="127"/>
      <c r="BA49" s="127"/>
      <c r="BB49" s="127"/>
      <c r="BC49" s="127"/>
      <c r="BD49" s="127"/>
      <c r="BE49" s="127"/>
      <c r="BF49" s="127"/>
      <c r="BG49" s="127"/>
      <c r="BH49" s="127"/>
      <c r="BI49" s="127"/>
      <c r="BJ49" s="127"/>
      <c r="BK49" s="127"/>
      <c r="BL49" s="127"/>
      <c r="BM49" s="127"/>
      <c r="BN49" s="127"/>
      <c r="BO49" s="127"/>
      <c r="BP49" s="127"/>
      <c r="BQ49" s="127"/>
      <c r="BR49" s="127"/>
      <c r="BS49" s="127"/>
      <c r="BT49" s="127"/>
      <c r="BU49" s="127"/>
      <c r="BV49" s="127"/>
      <c r="BW49" s="127"/>
      <c r="BX49" s="127"/>
      <c r="BY49" s="127"/>
      <c r="BZ49" s="127"/>
      <c r="CA49" s="127"/>
      <c r="CB49" s="127"/>
      <c r="CC49" s="127"/>
      <c r="CD49" s="127"/>
      <c r="CE49" s="127"/>
      <c r="CF49" s="127"/>
      <c r="CG49" s="127"/>
      <c r="CH49" s="127"/>
      <c r="CI49" s="127"/>
      <c r="CJ49" s="127"/>
      <c r="CK49" s="127"/>
      <c r="CL49" s="127"/>
      <c r="CM49" s="127"/>
      <c r="CN49" s="127"/>
      <c r="CO49" s="127"/>
      <c r="CP49" s="127"/>
      <c r="CQ49" s="127"/>
      <c r="CR49" s="127"/>
      <c r="CS49" s="127"/>
      <c r="CT49" s="127"/>
      <c r="CU49" s="127"/>
      <c r="CV49" s="127"/>
      <c r="CW49" s="127"/>
      <c r="CX49" s="127"/>
      <c r="CY49" s="127"/>
      <c r="CZ49" s="127"/>
      <c r="DA49" s="127"/>
      <c r="DB49" s="127"/>
      <c r="DC49" s="127"/>
      <c r="DD49" s="127"/>
      <c r="DE49" s="132"/>
      <c r="DF49" s="132"/>
      <c r="DG49" s="132"/>
      <c r="DH49" s="132"/>
      <c r="DI49" s="132"/>
      <c r="DJ49" s="132"/>
      <c r="DK49" s="132"/>
      <c r="DL49" s="132"/>
      <c r="DM49" s="132"/>
      <c r="DN49" s="132"/>
      <c r="DO49" s="132"/>
      <c r="DP49" s="132"/>
      <c r="DQ49" s="132"/>
    </row>
    <row r="50" spans="1:121" s="98" customFormat="1" ht="17" thickBot="1" x14ac:dyDescent="0.25">
      <c r="A50" s="387">
        <v>-1.321591750266053</v>
      </c>
      <c r="B50" s="156"/>
      <c r="C50" s="480" t="s">
        <v>14</v>
      </c>
      <c r="D50" s="481"/>
      <c r="E50" s="128">
        <v>0.10034188133917428</v>
      </c>
      <c r="F50" s="128">
        <v>0.17379723660649726</v>
      </c>
      <c r="G50" s="128" t="s">
        <v>114</v>
      </c>
      <c r="H50" s="159" t="s">
        <v>40</v>
      </c>
      <c r="I50" s="159" t="s">
        <v>40</v>
      </c>
      <c r="J50" s="159" t="s">
        <v>40</v>
      </c>
      <c r="K50" s="159" t="s">
        <v>40</v>
      </c>
      <c r="L50" s="159" t="s">
        <v>40</v>
      </c>
      <c r="M50" s="159" t="s">
        <v>40</v>
      </c>
      <c r="N50" s="159" t="s">
        <v>40</v>
      </c>
      <c r="O50" s="159"/>
      <c r="P50" s="159"/>
      <c r="Q50" s="159"/>
      <c r="R50" s="159"/>
      <c r="S50" s="159"/>
      <c r="T50" s="159"/>
      <c r="U50" s="159"/>
      <c r="V50" s="159"/>
      <c r="W50" s="159"/>
      <c r="X50" s="159"/>
      <c r="Y50" s="159"/>
      <c r="Z50" s="159"/>
      <c r="AA50" s="159"/>
      <c r="AB50" s="159"/>
      <c r="AC50" s="159"/>
      <c r="AD50" s="159"/>
      <c r="AE50" s="159"/>
      <c r="AF50" s="159"/>
      <c r="AG50" s="159"/>
      <c r="AH50" s="159"/>
      <c r="AI50" s="159"/>
      <c r="AJ50" s="159"/>
      <c r="AK50" s="159"/>
      <c r="AL50" s="159"/>
      <c r="AM50" s="159"/>
      <c r="AN50" s="159"/>
      <c r="AO50" s="159"/>
      <c r="AP50" s="159"/>
      <c r="AQ50" s="159"/>
      <c r="AR50" s="159"/>
      <c r="AS50" s="159"/>
      <c r="AT50" s="159"/>
      <c r="AU50" s="159"/>
      <c r="AV50" s="159"/>
      <c r="AW50" s="159"/>
      <c r="AX50" s="159"/>
      <c r="AY50" s="159"/>
      <c r="AZ50" s="159"/>
      <c r="BA50" s="159"/>
      <c r="BB50" s="159"/>
      <c r="BC50" s="159"/>
      <c r="BD50" s="159"/>
      <c r="BE50" s="159"/>
      <c r="BF50" s="159"/>
      <c r="BG50" s="159"/>
      <c r="BH50" s="159"/>
      <c r="BI50" s="159"/>
      <c r="BJ50" s="159"/>
      <c r="BK50" s="159"/>
      <c r="BL50" s="159"/>
      <c r="BM50" s="159"/>
      <c r="BN50" s="159"/>
      <c r="BO50" s="159"/>
      <c r="BP50" s="159"/>
      <c r="BQ50" s="159"/>
      <c r="BR50" s="159"/>
      <c r="BS50" s="159"/>
      <c r="BT50" s="159"/>
      <c r="BU50" s="159"/>
      <c r="BV50" s="159"/>
      <c r="BW50" s="159"/>
      <c r="BX50" s="159"/>
      <c r="BY50" s="159"/>
      <c r="BZ50" s="159"/>
      <c r="CA50" s="159"/>
      <c r="CB50" s="159"/>
      <c r="CC50" s="159"/>
      <c r="CD50" s="159"/>
      <c r="CE50" s="159"/>
      <c r="CF50" s="159"/>
      <c r="CG50" s="159"/>
      <c r="CH50" s="159"/>
      <c r="CI50" s="159"/>
      <c r="CJ50" s="159"/>
      <c r="CK50" s="159"/>
      <c r="CL50" s="159"/>
      <c r="CM50" s="159"/>
      <c r="CN50" s="159"/>
      <c r="CO50" s="159"/>
      <c r="CP50" s="159"/>
      <c r="CQ50" s="159"/>
      <c r="CR50" s="159"/>
      <c r="CS50" s="159"/>
      <c r="CT50" s="159"/>
      <c r="CU50" s="159"/>
      <c r="CV50" s="159"/>
      <c r="CW50" s="159"/>
      <c r="CX50" s="159"/>
      <c r="CY50" s="159"/>
      <c r="CZ50" s="159"/>
      <c r="DA50" s="159"/>
      <c r="DB50" s="159"/>
      <c r="DC50" s="159"/>
      <c r="DD50" s="159"/>
      <c r="DE50" s="156"/>
      <c r="DF50" s="156"/>
      <c r="DG50" s="156"/>
      <c r="DH50" s="156"/>
      <c r="DI50" s="156"/>
      <c r="DJ50" s="156"/>
      <c r="DK50" s="156"/>
      <c r="DL50" s="156"/>
      <c r="DM50" s="156"/>
      <c r="DN50" s="156"/>
      <c r="DO50" s="156"/>
      <c r="DP50" s="156"/>
      <c r="DQ50" s="156"/>
    </row>
    <row r="51" spans="1:121" s="97" customFormat="1" ht="17" thickBot="1" x14ac:dyDescent="0.25">
      <c r="A51" s="391">
        <v>-1.3163241959828667</v>
      </c>
      <c r="B51" s="148"/>
      <c r="C51" s="515" t="s">
        <v>15</v>
      </c>
      <c r="D51" s="516"/>
      <c r="E51" s="129">
        <v>4.3003663431074687E-2</v>
      </c>
      <c r="F51" s="129">
        <v>7.4484529974213107E-2</v>
      </c>
      <c r="G51" s="129" t="s">
        <v>114</v>
      </c>
      <c r="H51" s="181" t="s">
        <v>40</v>
      </c>
      <c r="I51" s="181" t="s">
        <v>40</v>
      </c>
      <c r="J51" s="181" t="s">
        <v>40</v>
      </c>
      <c r="K51" s="181" t="s">
        <v>40</v>
      </c>
      <c r="L51" s="181" t="s">
        <v>40</v>
      </c>
      <c r="M51" s="181" t="s">
        <v>40</v>
      </c>
      <c r="N51" s="181" t="s">
        <v>40</v>
      </c>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181"/>
      <c r="BN51" s="181"/>
      <c r="BO51" s="181"/>
      <c r="BP51" s="181"/>
      <c r="BQ51" s="181"/>
      <c r="BR51" s="181"/>
      <c r="BS51" s="181"/>
      <c r="BT51" s="181"/>
      <c r="BU51" s="181"/>
      <c r="BV51" s="181"/>
      <c r="BW51" s="181"/>
      <c r="BX51" s="181"/>
      <c r="BY51" s="181"/>
      <c r="BZ51" s="181"/>
      <c r="CA51" s="181"/>
      <c r="CB51" s="181"/>
      <c r="CC51" s="181"/>
      <c r="CD51" s="181"/>
      <c r="CE51" s="181"/>
      <c r="CF51" s="181"/>
      <c r="CG51" s="181"/>
      <c r="CH51" s="181"/>
      <c r="CI51" s="181"/>
      <c r="CJ51" s="181"/>
      <c r="CK51" s="181"/>
      <c r="CL51" s="181"/>
      <c r="CM51" s="181"/>
      <c r="CN51" s="181"/>
      <c r="CO51" s="181"/>
      <c r="CP51" s="181"/>
      <c r="CQ51" s="181"/>
      <c r="CR51" s="181"/>
      <c r="CS51" s="181"/>
      <c r="CT51" s="181"/>
      <c r="CU51" s="181"/>
      <c r="CV51" s="181"/>
      <c r="CW51" s="181"/>
      <c r="CX51" s="181"/>
      <c r="CY51" s="181"/>
      <c r="CZ51" s="181"/>
      <c r="DA51" s="181"/>
      <c r="DB51" s="181"/>
      <c r="DC51" s="181"/>
      <c r="DD51" s="181"/>
      <c r="DE51" s="148"/>
      <c r="DF51" s="148"/>
      <c r="DG51" s="148"/>
      <c r="DH51" s="148"/>
      <c r="DI51" s="148"/>
      <c r="DJ51" s="148"/>
      <c r="DK51" s="148"/>
      <c r="DL51" s="148"/>
      <c r="DM51" s="148"/>
      <c r="DN51" s="148"/>
      <c r="DO51" s="148"/>
      <c r="DP51" s="148"/>
      <c r="DQ51" s="148"/>
    </row>
    <row r="52" spans="1:121" s="100" customFormat="1" ht="17" thickBot="1" x14ac:dyDescent="0.25">
      <c r="A52" s="387">
        <v>-1.3134131159016227</v>
      </c>
      <c r="B52" s="167"/>
      <c r="C52" s="515" t="s">
        <v>13</v>
      </c>
      <c r="D52" s="516"/>
      <c r="E52" s="130">
        <v>2.4933768194037484</v>
      </c>
      <c r="F52" s="130">
        <v>4.5790320852337842</v>
      </c>
      <c r="G52" s="130" t="s">
        <v>114</v>
      </c>
      <c r="H52" s="176" t="s">
        <v>40</v>
      </c>
      <c r="I52" s="176" t="s">
        <v>40</v>
      </c>
      <c r="J52" s="176" t="s">
        <v>40</v>
      </c>
      <c r="K52" s="176" t="s">
        <v>40</v>
      </c>
      <c r="L52" s="176" t="s">
        <v>40</v>
      </c>
      <c r="M52" s="176" t="s">
        <v>40</v>
      </c>
      <c r="N52" s="176" t="s">
        <v>40</v>
      </c>
      <c r="O52" s="176"/>
      <c r="P52" s="176"/>
      <c r="Q52" s="176"/>
      <c r="R52" s="176"/>
      <c r="S52" s="176"/>
      <c r="T52" s="176"/>
      <c r="U52" s="176"/>
      <c r="V52" s="176"/>
      <c r="W52" s="176"/>
      <c r="X52" s="176"/>
      <c r="Y52" s="176"/>
      <c r="Z52" s="176"/>
      <c r="AA52" s="176"/>
      <c r="AB52" s="176"/>
      <c r="AC52" s="176"/>
      <c r="AD52" s="176"/>
      <c r="AE52" s="176"/>
      <c r="AF52" s="176"/>
      <c r="AG52" s="176"/>
      <c r="AH52" s="176"/>
      <c r="AI52" s="176"/>
      <c r="AJ52" s="176"/>
      <c r="AK52" s="176"/>
      <c r="AL52" s="176"/>
      <c r="AM52" s="176"/>
      <c r="AN52" s="176"/>
      <c r="AO52" s="176"/>
      <c r="AP52" s="176"/>
      <c r="AQ52" s="176"/>
      <c r="AR52" s="176"/>
      <c r="AS52" s="176"/>
      <c r="AT52" s="176"/>
      <c r="AU52" s="176"/>
      <c r="AV52" s="176"/>
      <c r="AW52" s="176"/>
      <c r="AX52" s="176"/>
      <c r="AY52" s="176"/>
      <c r="AZ52" s="176"/>
      <c r="BA52" s="176"/>
      <c r="BB52" s="176"/>
      <c r="BC52" s="176"/>
      <c r="BD52" s="176"/>
      <c r="BE52" s="176"/>
      <c r="BF52" s="176"/>
      <c r="BG52" s="176"/>
      <c r="BH52" s="176"/>
      <c r="BI52" s="176"/>
      <c r="BJ52" s="176"/>
      <c r="BK52" s="176"/>
      <c r="BL52" s="176"/>
      <c r="BM52" s="176"/>
      <c r="BN52" s="176"/>
      <c r="BO52" s="176"/>
      <c r="BP52" s="176"/>
      <c r="BQ52" s="176"/>
      <c r="BR52" s="176"/>
      <c r="BS52" s="176"/>
      <c r="BT52" s="176"/>
      <c r="BU52" s="176"/>
      <c r="BV52" s="176"/>
      <c r="BW52" s="176"/>
      <c r="BX52" s="176"/>
      <c r="BY52" s="176"/>
      <c r="BZ52" s="176"/>
      <c r="CA52" s="176"/>
      <c r="CB52" s="176"/>
      <c r="CC52" s="176"/>
      <c r="CD52" s="176"/>
      <c r="CE52" s="176"/>
      <c r="CF52" s="176"/>
      <c r="CG52" s="176"/>
      <c r="CH52" s="176"/>
      <c r="CI52" s="176"/>
      <c r="CJ52" s="176"/>
      <c r="CK52" s="176"/>
      <c r="CL52" s="176"/>
      <c r="CM52" s="176"/>
      <c r="CN52" s="176"/>
      <c r="CO52" s="176"/>
      <c r="CP52" s="176"/>
      <c r="CQ52" s="176"/>
      <c r="CR52" s="176"/>
      <c r="CS52" s="176"/>
      <c r="CT52" s="176"/>
      <c r="CU52" s="176"/>
      <c r="CV52" s="176"/>
      <c r="CW52" s="176"/>
      <c r="CX52" s="176"/>
      <c r="CY52" s="176"/>
      <c r="CZ52" s="176"/>
      <c r="DA52" s="176"/>
      <c r="DB52" s="176"/>
      <c r="DC52" s="176"/>
      <c r="DD52" s="176"/>
      <c r="DE52" s="167"/>
      <c r="DF52" s="167"/>
      <c r="DG52" s="167"/>
      <c r="DH52" s="167"/>
      <c r="DI52" s="167"/>
      <c r="DJ52" s="167"/>
      <c r="DK52" s="167"/>
      <c r="DL52" s="167"/>
      <c r="DM52" s="167"/>
      <c r="DN52" s="167"/>
      <c r="DO52" s="167"/>
      <c r="DP52" s="167"/>
      <c r="DQ52" s="167"/>
    </row>
    <row r="53" spans="1:121" ht="33" customHeight="1" thickBot="1" x14ac:dyDescent="0.25">
      <c r="A53" s="387">
        <v>-1.3100992031407883</v>
      </c>
      <c r="B53" s="325"/>
      <c r="C53" s="326"/>
      <c r="D53" s="326"/>
      <c r="E53" s="327" t="s">
        <v>40</v>
      </c>
      <c r="F53" s="327" t="s">
        <v>40</v>
      </c>
      <c r="G53" s="327"/>
      <c r="H53" s="327"/>
      <c r="I53" s="327" t="s">
        <v>40</v>
      </c>
      <c r="J53" s="327" t="s">
        <v>40</v>
      </c>
      <c r="K53" s="327" t="s">
        <v>40</v>
      </c>
      <c r="L53" s="327" t="s">
        <v>40</v>
      </c>
      <c r="M53" s="327" t="s">
        <v>40</v>
      </c>
      <c r="N53" s="327" t="s">
        <v>40</v>
      </c>
      <c r="O53" s="327"/>
      <c r="P53" s="327"/>
      <c r="Q53" s="327" t="s">
        <v>40</v>
      </c>
      <c r="R53" s="327" t="s">
        <v>40</v>
      </c>
      <c r="S53" s="327"/>
      <c r="T53" s="327"/>
      <c r="U53" s="327"/>
      <c r="V53" s="327"/>
      <c r="W53" s="327"/>
      <c r="X53" s="327"/>
      <c r="Y53" s="327"/>
      <c r="Z53" s="333"/>
      <c r="AA53" s="333"/>
      <c r="AB53" s="127"/>
      <c r="AC53" s="127"/>
      <c r="AD53" s="127"/>
      <c r="AE53" s="127"/>
      <c r="AF53" s="127"/>
      <c r="AG53" s="127"/>
      <c r="AH53" s="127"/>
      <c r="AI53" s="127"/>
      <c r="AJ53" s="127"/>
      <c r="AK53" s="127"/>
      <c r="AL53" s="127"/>
      <c r="AM53" s="127"/>
      <c r="AN53" s="127"/>
      <c r="AO53" s="127"/>
      <c r="AP53" s="127"/>
      <c r="AQ53" s="127"/>
      <c r="AR53" s="127"/>
      <c r="AS53" s="127"/>
      <c r="AT53" s="127"/>
      <c r="AU53" s="127"/>
      <c r="AV53" s="127"/>
      <c r="AW53" s="127"/>
      <c r="AX53" s="127"/>
      <c r="AY53" s="127"/>
      <c r="AZ53" s="127"/>
      <c r="BA53" s="127"/>
      <c r="BB53" s="127"/>
      <c r="BC53" s="127"/>
      <c r="BD53" s="127"/>
      <c r="BE53" s="127"/>
      <c r="BF53" s="127"/>
      <c r="BG53" s="127"/>
      <c r="BH53" s="127"/>
      <c r="BI53" s="127"/>
      <c r="BJ53" s="127"/>
      <c r="BK53" s="127"/>
      <c r="BL53" s="127"/>
      <c r="BM53" s="127"/>
      <c r="BN53" s="127"/>
      <c r="BO53" s="127"/>
      <c r="BP53" s="127"/>
      <c r="BQ53" s="127"/>
      <c r="BR53" s="127"/>
      <c r="BS53" s="127"/>
      <c r="BT53" s="127"/>
      <c r="BU53" s="127"/>
      <c r="BV53" s="127"/>
      <c r="BW53" s="127"/>
      <c r="BX53" s="127"/>
      <c r="BY53" s="127"/>
      <c r="BZ53" s="127"/>
      <c r="CA53" s="127"/>
      <c r="CB53" s="127"/>
      <c r="CC53" s="127"/>
      <c r="CD53" s="127"/>
      <c r="CE53" s="127"/>
      <c r="CF53" s="127"/>
      <c r="CG53" s="127"/>
      <c r="CH53" s="127"/>
      <c r="CI53" s="127"/>
      <c r="CJ53" s="127"/>
      <c r="CK53" s="127"/>
      <c r="CL53" s="127"/>
      <c r="CM53" s="127"/>
      <c r="CN53" s="127"/>
      <c r="CO53" s="127"/>
      <c r="CP53" s="127"/>
      <c r="CQ53" s="127"/>
      <c r="CR53" s="127"/>
      <c r="CS53" s="127"/>
      <c r="CT53" s="127"/>
      <c r="CU53" s="127"/>
      <c r="CV53" s="127"/>
      <c r="CW53" s="127"/>
      <c r="CX53" s="127"/>
      <c r="CY53" s="127"/>
      <c r="CZ53" s="127"/>
      <c r="DA53" s="127"/>
      <c r="DB53" s="127"/>
      <c r="DC53" s="127"/>
      <c r="DD53" s="127"/>
      <c r="DE53" s="132"/>
      <c r="DF53" s="132"/>
      <c r="DG53" s="132"/>
      <c r="DH53" s="132"/>
      <c r="DI53" s="132"/>
      <c r="DJ53" s="132"/>
      <c r="DK53" s="132"/>
      <c r="DL53" s="132"/>
      <c r="DM53" s="132"/>
      <c r="DN53" s="132"/>
      <c r="DO53" s="132"/>
      <c r="DP53" s="132"/>
      <c r="DQ53" s="132"/>
    </row>
    <row r="54" spans="1:121" ht="33" customHeight="1" thickBot="1" x14ac:dyDescent="0.25">
      <c r="A54" s="394">
        <v>-1.3009013765396786</v>
      </c>
      <c r="B54" s="132"/>
      <c r="C54" s="132"/>
      <c r="D54" s="132"/>
      <c r="E54" s="127"/>
      <c r="F54" s="335"/>
      <c r="G54" s="335"/>
      <c r="H54" s="182"/>
      <c r="I54" s="127"/>
      <c r="J54" s="127"/>
      <c r="K54" s="182"/>
      <c r="L54" s="182"/>
      <c r="M54" s="182"/>
      <c r="N54" s="182"/>
      <c r="O54" s="182"/>
      <c r="P54" s="182"/>
      <c r="Q54" s="182"/>
      <c r="R54" s="127"/>
      <c r="S54" s="127"/>
      <c r="T54" s="127"/>
      <c r="U54" s="127"/>
      <c r="V54" s="127"/>
      <c r="W54" s="127"/>
      <c r="X54" s="127"/>
      <c r="Y54" s="127"/>
      <c r="Z54" s="127"/>
      <c r="AA54" s="127"/>
      <c r="AB54" s="127"/>
      <c r="AC54" s="127"/>
      <c r="AD54" s="127"/>
      <c r="AE54" s="127"/>
      <c r="AF54" s="127"/>
      <c r="AG54" s="127"/>
      <c r="AH54" s="127"/>
      <c r="AI54" s="127"/>
      <c r="AJ54" s="127"/>
      <c r="AK54" s="127"/>
      <c r="AL54" s="127"/>
      <c r="AM54" s="127"/>
      <c r="AN54" s="127"/>
      <c r="AO54" s="127"/>
      <c r="AP54" s="127"/>
      <c r="AQ54" s="127"/>
      <c r="AR54" s="127"/>
      <c r="AS54" s="127"/>
      <c r="AT54" s="127"/>
      <c r="AU54" s="127"/>
      <c r="AV54" s="127"/>
      <c r="AW54" s="127"/>
      <c r="AX54" s="127"/>
      <c r="AY54" s="127"/>
      <c r="AZ54" s="127"/>
      <c r="BA54" s="127"/>
      <c r="BB54" s="127"/>
      <c r="BC54" s="127"/>
      <c r="BD54" s="127"/>
      <c r="BE54" s="127"/>
      <c r="BF54" s="127"/>
      <c r="BG54" s="127"/>
      <c r="BH54" s="127"/>
      <c r="BI54" s="127"/>
      <c r="BJ54" s="127"/>
      <c r="BK54" s="127"/>
      <c r="BL54" s="127"/>
      <c r="BM54" s="127"/>
      <c r="BN54" s="127"/>
      <c r="BO54" s="127"/>
      <c r="BP54" s="127"/>
      <c r="BQ54" s="127"/>
      <c r="BR54" s="127"/>
      <c r="BS54" s="127"/>
      <c r="BT54" s="127"/>
      <c r="BU54" s="127"/>
      <c r="BV54" s="127"/>
      <c r="BW54" s="127"/>
      <c r="BX54" s="127"/>
      <c r="BY54" s="127"/>
      <c r="BZ54" s="127"/>
      <c r="CA54" s="127"/>
      <c r="CB54" s="127"/>
      <c r="CC54" s="127"/>
      <c r="CD54" s="127"/>
      <c r="CE54" s="127"/>
      <c r="CF54" s="127"/>
      <c r="CG54" s="127"/>
      <c r="CH54" s="127"/>
      <c r="CI54" s="127"/>
      <c r="CJ54" s="127"/>
      <c r="CK54" s="127"/>
      <c r="CL54" s="127"/>
      <c r="CM54" s="127"/>
      <c r="CN54" s="127"/>
      <c r="CO54" s="127"/>
      <c r="CP54" s="127"/>
      <c r="CQ54" s="127"/>
      <c r="CR54" s="127"/>
      <c r="CS54" s="127"/>
      <c r="CT54" s="127"/>
      <c r="CU54" s="127"/>
      <c r="CV54" s="127"/>
      <c r="CW54" s="127"/>
      <c r="CX54" s="127"/>
      <c r="CY54" s="127"/>
      <c r="CZ54" s="127"/>
      <c r="DA54" s="127"/>
      <c r="DB54" s="127"/>
      <c r="DC54" s="127"/>
      <c r="DD54" s="127"/>
      <c r="DE54" s="132"/>
      <c r="DF54" s="132"/>
      <c r="DG54" s="132"/>
      <c r="DH54" s="132"/>
      <c r="DI54" s="132"/>
      <c r="DJ54" s="132"/>
      <c r="DK54" s="132"/>
      <c r="DL54" s="132"/>
      <c r="DM54" s="132"/>
      <c r="DN54" s="132"/>
      <c r="DO54" s="132"/>
      <c r="DP54" s="132"/>
      <c r="DQ54" s="132"/>
    </row>
    <row r="55" spans="1:121" ht="20" customHeight="1" thickBot="1" x14ac:dyDescent="0.25">
      <c r="A55" s="104">
        <v>-1.2930625093304093</v>
      </c>
      <c r="B55" s="496" t="s">
        <v>77</v>
      </c>
      <c r="C55" s="497"/>
      <c r="D55" s="497"/>
      <c r="E55" s="498"/>
      <c r="F55" s="336" t="s">
        <v>40</v>
      </c>
      <c r="G55" s="182"/>
      <c r="H55" s="183"/>
      <c r="I55" s="183" t="s">
        <v>40</v>
      </c>
      <c r="J55" s="183" t="s">
        <v>40</v>
      </c>
      <c r="K55" s="183" t="s">
        <v>40</v>
      </c>
      <c r="L55" s="183" t="s">
        <v>40</v>
      </c>
      <c r="M55" s="183" t="s">
        <v>40</v>
      </c>
      <c r="N55" s="183" t="s">
        <v>40</v>
      </c>
      <c r="O55" s="183"/>
      <c r="P55" s="183"/>
      <c r="Q55" s="183" t="s">
        <v>40</v>
      </c>
      <c r="R55" s="183" t="s">
        <v>40</v>
      </c>
      <c r="S55" s="183"/>
      <c r="T55" s="183"/>
      <c r="U55" s="183"/>
      <c r="V55" s="183"/>
      <c r="W55" s="183"/>
      <c r="X55" s="183"/>
      <c r="Y55" s="183"/>
      <c r="Z55" s="183"/>
      <c r="AA55" s="184"/>
      <c r="AB55" s="127"/>
      <c r="AC55" s="127"/>
      <c r="AD55" s="127"/>
      <c r="AE55" s="127"/>
      <c r="AF55" s="127"/>
      <c r="AG55" s="127"/>
      <c r="AH55" s="127"/>
      <c r="AI55" s="127"/>
      <c r="AJ55" s="127"/>
      <c r="AK55" s="127"/>
      <c r="AL55" s="127"/>
      <c r="AM55" s="127"/>
      <c r="AN55" s="127"/>
      <c r="AO55" s="127"/>
      <c r="AP55" s="127"/>
      <c r="AQ55" s="127"/>
      <c r="AR55" s="127"/>
      <c r="AS55" s="127"/>
      <c r="AT55" s="127"/>
      <c r="AU55" s="127"/>
      <c r="AV55" s="127"/>
      <c r="AW55" s="127"/>
      <c r="AX55" s="127"/>
      <c r="AY55" s="127"/>
      <c r="AZ55" s="127"/>
      <c r="BA55" s="127"/>
      <c r="BB55" s="127"/>
      <c r="BC55" s="127"/>
      <c r="BD55" s="127"/>
      <c r="BE55" s="127"/>
      <c r="BF55" s="127"/>
      <c r="BG55" s="127"/>
      <c r="BH55" s="127"/>
      <c r="BI55" s="127"/>
      <c r="BJ55" s="127"/>
      <c r="BK55" s="127"/>
      <c r="BL55" s="127"/>
      <c r="BM55" s="127"/>
      <c r="BN55" s="127"/>
      <c r="BO55" s="127"/>
      <c r="BP55" s="127"/>
      <c r="BQ55" s="127"/>
      <c r="BR55" s="127"/>
      <c r="BS55" s="127"/>
      <c r="BT55" s="127"/>
      <c r="BU55" s="127"/>
      <c r="BV55" s="127"/>
      <c r="BW55" s="127"/>
      <c r="BX55" s="127"/>
      <c r="BY55" s="127"/>
      <c r="BZ55" s="127"/>
      <c r="CA55" s="127"/>
      <c r="CB55" s="127"/>
      <c r="CC55" s="127"/>
      <c r="CD55" s="127"/>
      <c r="CE55" s="127"/>
      <c r="CF55" s="127"/>
      <c r="CG55" s="127"/>
      <c r="CH55" s="127"/>
      <c r="CI55" s="127"/>
      <c r="CJ55" s="127"/>
      <c r="CK55" s="127"/>
      <c r="CL55" s="127"/>
      <c r="CM55" s="127"/>
      <c r="CN55" s="127"/>
      <c r="CO55" s="127"/>
      <c r="CP55" s="127"/>
      <c r="CQ55" s="127"/>
      <c r="CR55" s="127"/>
      <c r="CS55" s="127"/>
      <c r="CT55" s="127"/>
      <c r="CU55" s="127"/>
      <c r="CV55" s="127"/>
      <c r="CW55" s="127"/>
      <c r="CX55" s="127"/>
      <c r="CY55" s="127"/>
      <c r="CZ55" s="127"/>
      <c r="DA55" s="127"/>
      <c r="DB55" s="127"/>
      <c r="DC55" s="127"/>
      <c r="DD55" s="127"/>
      <c r="DE55" s="132"/>
      <c r="DF55" s="132"/>
      <c r="DG55" s="132"/>
      <c r="DH55" s="132"/>
      <c r="DI55" s="132"/>
      <c r="DJ55" s="132"/>
      <c r="DK55" s="132"/>
      <c r="DL55" s="132"/>
      <c r="DM55" s="132"/>
      <c r="DN55" s="132"/>
      <c r="DO55" s="132"/>
      <c r="DP55" s="132"/>
      <c r="DQ55" s="132"/>
    </row>
    <row r="56" spans="1:121" ht="22" thickBot="1" x14ac:dyDescent="0.25">
      <c r="A56" s="394">
        <v>-1.2903444667551205</v>
      </c>
      <c r="B56" s="499"/>
      <c r="C56" s="500"/>
      <c r="D56" s="500"/>
      <c r="E56" s="501"/>
      <c r="F56" s="185"/>
      <c r="G56" s="185"/>
      <c r="H56" s="182"/>
      <c r="I56" s="517" t="s">
        <v>80</v>
      </c>
      <c r="J56" s="518"/>
      <c r="K56" s="519"/>
      <c r="L56" s="156"/>
      <c r="M56" s="156"/>
      <c r="N56" s="156"/>
      <c r="O56" s="162"/>
      <c r="P56" s="162"/>
      <c r="Q56" s="132"/>
      <c r="R56" s="505" t="s">
        <v>86</v>
      </c>
      <c r="S56" s="506"/>
      <c r="T56" s="506"/>
      <c r="U56" s="506"/>
      <c r="V56" s="506"/>
      <c r="W56" s="506"/>
      <c r="X56" s="506"/>
      <c r="Y56" s="506"/>
      <c r="Z56" s="507"/>
      <c r="AA56" s="186"/>
      <c r="AB56" s="127"/>
      <c r="AC56" s="127"/>
      <c r="AD56" s="127"/>
      <c r="AE56" s="127"/>
      <c r="AF56" s="127"/>
      <c r="AG56" s="127"/>
      <c r="AH56" s="127"/>
      <c r="AI56" s="127"/>
      <c r="AJ56" s="127"/>
      <c r="AK56" s="127"/>
      <c r="AL56" s="127"/>
      <c r="AM56" s="127"/>
      <c r="AN56" s="127"/>
      <c r="AO56" s="127"/>
      <c r="AP56" s="127"/>
      <c r="AQ56" s="127"/>
      <c r="AR56" s="127"/>
      <c r="AS56" s="127"/>
      <c r="AT56" s="127"/>
      <c r="AU56" s="127"/>
      <c r="AV56" s="127"/>
      <c r="AW56" s="127"/>
      <c r="AX56" s="127"/>
      <c r="AY56" s="127"/>
      <c r="AZ56" s="127"/>
      <c r="BA56" s="127"/>
      <c r="BB56" s="127"/>
      <c r="BC56" s="127"/>
      <c r="BD56" s="127"/>
      <c r="BE56" s="127"/>
      <c r="BF56" s="127"/>
      <c r="BG56" s="127"/>
      <c r="BH56" s="127"/>
      <c r="BI56" s="127"/>
      <c r="BJ56" s="127"/>
      <c r="BK56" s="127"/>
      <c r="BL56" s="127"/>
      <c r="BM56" s="127"/>
      <c r="BN56" s="127"/>
      <c r="BO56" s="127"/>
      <c r="BP56" s="127"/>
      <c r="BQ56" s="127"/>
      <c r="BR56" s="127"/>
      <c r="BS56" s="127"/>
      <c r="BT56" s="127"/>
      <c r="BU56" s="127"/>
      <c r="BV56" s="127"/>
      <c r="BW56" s="127"/>
      <c r="BX56" s="127"/>
      <c r="BY56" s="127"/>
      <c r="BZ56" s="127"/>
      <c r="CA56" s="127"/>
      <c r="CB56" s="127"/>
      <c r="CC56" s="127"/>
      <c r="CD56" s="127"/>
      <c r="CE56" s="127"/>
      <c r="CF56" s="127"/>
      <c r="CG56" s="127"/>
      <c r="CH56" s="127"/>
      <c r="CI56" s="127"/>
      <c r="CJ56" s="127"/>
      <c r="CK56" s="127"/>
      <c r="CL56" s="127"/>
      <c r="CM56" s="127"/>
      <c r="CN56" s="127"/>
      <c r="CO56" s="127"/>
      <c r="CP56" s="127"/>
      <c r="CQ56" s="127"/>
      <c r="CR56" s="127"/>
      <c r="CS56" s="127"/>
      <c r="CT56" s="127"/>
      <c r="CU56" s="127"/>
      <c r="CV56" s="127"/>
      <c r="CW56" s="127"/>
      <c r="CX56" s="127"/>
      <c r="CY56" s="127"/>
      <c r="CZ56" s="127"/>
      <c r="DA56" s="127"/>
      <c r="DB56" s="127"/>
      <c r="DC56" s="127"/>
      <c r="DD56" s="127"/>
      <c r="DE56" s="132"/>
      <c r="DF56" s="132"/>
      <c r="DG56" s="132"/>
      <c r="DH56" s="132"/>
      <c r="DI56" s="132"/>
      <c r="DJ56" s="132"/>
      <c r="DK56" s="132"/>
      <c r="DL56" s="132"/>
      <c r="DM56" s="132"/>
      <c r="DN56" s="132"/>
      <c r="DO56" s="132"/>
      <c r="DP56" s="132"/>
      <c r="DQ56" s="132"/>
    </row>
    <row r="57" spans="1:121" ht="39" customHeight="1" thickBot="1" x14ac:dyDescent="0.25">
      <c r="A57" s="394">
        <v>-1.2623324377288596</v>
      </c>
      <c r="B57" s="502"/>
      <c r="C57" s="503"/>
      <c r="D57" s="503"/>
      <c r="E57" s="504"/>
      <c r="F57" s="162"/>
      <c r="G57" s="182"/>
      <c r="H57" s="182"/>
      <c r="I57" s="513" t="s">
        <v>81</v>
      </c>
      <c r="J57" s="514"/>
      <c r="K57" s="364">
        <v>2</v>
      </c>
      <c r="L57" s="162"/>
      <c r="M57" s="162"/>
      <c r="N57" s="162"/>
      <c r="O57" s="162"/>
      <c r="P57" s="162"/>
      <c r="Q57" s="187"/>
      <c r="R57" s="188" t="s">
        <v>83</v>
      </c>
      <c r="S57" s="182"/>
      <c r="T57" s="487" t="s">
        <v>84</v>
      </c>
      <c r="U57" s="495"/>
      <c r="V57" s="182"/>
      <c r="W57" s="188" t="s">
        <v>82</v>
      </c>
      <c r="X57" s="162"/>
      <c r="Y57" s="189" t="s">
        <v>85</v>
      </c>
      <c r="Z57" s="190"/>
      <c r="AA57" s="191"/>
      <c r="AB57" s="132"/>
      <c r="AC57" s="132"/>
      <c r="AD57" s="132"/>
      <c r="AE57" s="132"/>
      <c r="AF57" s="132"/>
      <c r="AG57" s="132"/>
      <c r="AH57" s="132"/>
      <c r="AI57" s="132"/>
      <c r="AJ57" s="132"/>
      <c r="AK57" s="132"/>
      <c r="AL57" s="132"/>
      <c r="AM57" s="132"/>
      <c r="AN57" s="132"/>
      <c r="AO57" s="132"/>
      <c r="AP57" s="132"/>
      <c r="AQ57" s="132"/>
      <c r="AR57" s="132"/>
      <c r="AS57" s="132"/>
      <c r="AT57" s="132"/>
      <c r="AU57" s="132"/>
      <c r="AV57" s="132"/>
      <c r="AW57" s="132"/>
      <c r="AX57" s="132"/>
      <c r="AY57" s="132"/>
      <c r="AZ57" s="132"/>
      <c r="BA57" s="132"/>
      <c r="BB57" s="132"/>
      <c r="BC57" s="132"/>
      <c r="BD57" s="132"/>
      <c r="BE57" s="132"/>
      <c r="BF57" s="132"/>
      <c r="BG57" s="132"/>
      <c r="BH57" s="132"/>
      <c r="BI57" s="132"/>
      <c r="BJ57" s="132"/>
      <c r="BK57" s="132"/>
      <c r="BL57" s="132"/>
      <c r="BM57" s="132"/>
      <c r="BN57" s="132"/>
      <c r="BO57" s="132"/>
      <c r="BP57" s="132"/>
      <c r="BQ57" s="132"/>
      <c r="BR57" s="132"/>
      <c r="BS57" s="132"/>
      <c r="BT57" s="132"/>
      <c r="BU57" s="132"/>
      <c r="BV57" s="132"/>
      <c r="BW57" s="132"/>
      <c r="BX57" s="132"/>
      <c r="BY57" s="132"/>
      <c r="BZ57" s="132"/>
      <c r="CA57" s="132"/>
      <c r="CB57" s="132"/>
      <c r="CC57" s="132"/>
      <c r="CD57" s="132"/>
      <c r="CE57" s="132"/>
      <c r="CF57" s="132"/>
      <c r="CG57" s="132"/>
      <c r="CH57" s="132"/>
      <c r="CI57" s="132"/>
      <c r="CJ57" s="132"/>
      <c r="CK57" s="132"/>
      <c r="CL57" s="132"/>
      <c r="CM57" s="132"/>
      <c r="CN57" s="132"/>
      <c r="CO57" s="132"/>
      <c r="CP57" s="132"/>
      <c r="CQ57" s="132"/>
      <c r="CR57" s="132"/>
      <c r="CS57" s="132"/>
      <c r="CT57" s="132"/>
      <c r="CU57" s="132"/>
      <c r="CV57" s="132"/>
      <c r="CW57" s="132"/>
      <c r="CX57" s="132"/>
      <c r="CY57" s="132"/>
      <c r="CZ57" s="132"/>
      <c r="DA57" s="132"/>
      <c r="DB57" s="132"/>
      <c r="DC57" s="132"/>
      <c r="DD57" s="132"/>
      <c r="DE57" s="132"/>
      <c r="DF57" s="132"/>
      <c r="DG57" s="132"/>
      <c r="DH57" s="132"/>
      <c r="DI57" s="132"/>
      <c r="DJ57" s="132"/>
      <c r="DK57" s="132"/>
      <c r="DL57" s="132"/>
      <c r="DM57" s="132"/>
      <c r="DN57" s="132"/>
      <c r="DO57" s="132"/>
      <c r="DP57" s="132"/>
      <c r="DQ57" s="132"/>
    </row>
    <row r="58" spans="1:121" ht="33" customHeight="1" thickBot="1" x14ac:dyDescent="0.25">
      <c r="A58" s="387">
        <v>-1.2593159417155291</v>
      </c>
      <c r="B58" s="193"/>
      <c r="C58" s="187"/>
      <c r="D58" s="162"/>
      <c r="E58" s="162"/>
      <c r="F58" s="162"/>
      <c r="G58" s="182"/>
      <c r="H58" s="182"/>
      <c r="I58" s="162"/>
      <c r="J58" s="162"/>
      <c r="K58" s="162"/>
      <c r="L58" s="162"/>
      <c r="M58" s="162"/>
      <c r="N58" s="162"/>
      <c r="O58" s="162"/>
      <c r="P58" s="162"/>
      <c r="Q58" s="187"/>
      <c r="R58" s="111">
        <v>365</v>
      </c>
      <c r="S58" s="192"/>
      <c r="T58" s="111">
        <v>1</v>
      </c>
      <c r="U58" s="112" t="s">
        <v>713</v>
      </c>
      <c r="V58" s="192"/>
      <c r="W58" s="119">
        <f xml:space="preserve"> T0</f>
        <v>8.2191780821917804E-2</v>
      </c>
      <c r="X58" s="167"/>
      <c r="Y58" s="110">
        <v>1</v>
      </c>
      <c r="Z58" s="193"/>
      <c r="AA58" s="191"/>
      <c r="AB58" s="132"/>
      <c r="AC58" s="132"/>
      <c r="AD58" s="132"/>
      <c r="AE58" s="132"/>
      <c r="AF58" s="132"/>
      <c r="AG58" s="132"/>
      <c r="AH58" s="132"/>
      <c r="AI58" s="132"/>
      <c r="AJ58" s="132"/>
      <c r="AK58" s="132"/>
      <c r="AL58" s="132"/>
      <c r="AM58" s="132"/>
      <c r="AN58" s="132"/>
      <c r="AO58" s="132"/>
      <c r="AP58" s="132"/>
      <c r="AQ58" s="132"/>
      <c r="AR58" s="132"/>
      <c r="AS58" s="132"/>
      <c r="AT58" s="132"/>
      <c r="AU58" s="132"/>
      <c r="AV58" s="132"/>
      <c r="AW58" s="132"/>
      <c r="AX58" s="132"/>
      <c r="AY58" s="132"/>
      <c r="AZ58" s="132"/>
      <c r="BA58" s="132"/>
      <c r="BB58" s="132"/>
      <c r="BC58" s="132"/>
      <c r="BD58" s="132"/>
      <c r="BE58" s="132"/>
      <c r="BF58" s="132"/>
      <c r="BG58" s="132"/>
      <c r="BH58" s="132"/>
      <c r="BI58" s="132"/>
      <c r="BJ58" s="132"/>
      <c r="BK58" s="132"/>
      <c r="BL58" s="132"/>
      <c r="BM58" s="132"/>
      <c r="BN58" s="132"/>
      <c r="BO58" s="132"/>
      <c r="BP58" s="132"/>
      <c r="BQ58" s="132"/>
      <c r="BR58" s="132"/>
      <c r="BS58" s="132"/>
      <c r="BT58" s="132"/>
      <c r="BU58" s="132"/>
      <c r="BV58" s="132"/>
      <c r="BW58" s="132"/>
      <c r="BX58" s="132"/>
      <c r="BY58" s="132"/>
      <c r="BZ58" s="132"/>
      <c r="CA58" s="132"/>
      <c r="CB58" s="132"/>
      <c r="CC58" s="132"/>
      <c r="CD58" s="132"/>
      <c r="CE58" s="132"/>
      <c r="CF58" s="132"/>
      <c r="CG58" s="132"/>
      <c r="CH58" s="132"/>
      <c r="CI58" s="132"/>
      <c r="CJ58" s="132"/>
      <c r="CK58" s="132"/>
      <c r="CL58" s="132"/>
      <c r="CM58" s="132"/>
      <c r="CN58" s="132"/>
      <c r="CO58" s="132"/>
      <c r="CP58" s="132"/>
      <c r="CQ58" s="132"/>
      <c r="CR58" s="132"/>
      <c r="CS58" s="132"/>
      <c r="CT58" s="132"/>
      <c r="CU58" s="132"/>
      <c r="CV58" s="132"/>
      <c r="CW58" s="132"/>
      <c r="CX58" s="132"/>
      <c r="CY58" s="132"/>
      <c r="CZ58" s="132"/>
      <c r="DA58" s="132"/>
      <c r="DB58" s="132"/>
      <c r="DC58" s="132"/>
      <c r="DD58" s="132"/>
      <c r="DE58" s="132"/>
      <c r="DF58" s="132"/>
      <c r="DG58" s="132"/>
      <c r="DH58" s="132"/>
      <c r="DI58" s="132"/>
      <c r="DJ58" s="132"/>
      <c r="DK58" s="132"/>
      <c r="DL58" s="132"/>
      <c r="DM58" s="132"/>
      <c r="DN58" s="132"/>
      <c r="DO58" s="132"/>
      <c r="DP58" s="132"/>
      <c r="DQ58" s="132"/>
    </row>
    <row r="59" spans="1:121" ht="17" thickBot="1" x14ac:dyDescent="0.25">
      <c r="A59" s="394">
        <v>-1.2572182092414912</v>
      </c>
      <c r="B59" s="34"/>
      <c r="C59" s="56"/>
      <c r="D59" s="38"/>
      <c r="E59" s="38"/>
      <c r="F59" s="38"/>
      <c r="G59" s="322"/>
      <c r="H59" s="322"/>
      <c r="I59" s="38"/>
      <c r="J59" s="38"/>
      <c r="K59" s="38"/>
      <c r="L59" s="38"/>
      <c r="M59" s="38"/>
      <c r="N59" s="38"/>
      <c r="O59" s="38"/>
      <c r="P59" s="38"/>
      <c r="Q59" s="99"/>
      <c r="R59" s="100"/>
      <c r="S59" s="100"/>
      <c r="T59" s="100"/>
      <c r="U59" s="100"/>
      <c r="V59" s="100"/>
      <c r="W59" s="100"/>
      <c r="X59" s="100"/>
      <c r="Y59" s="100"/>
      <c r="Z59" s="109"/>
      <c r="AA59" s="105"/>
    </row>
    <row r="60" spans="1:121" x14ac:dyDescent="0.2">
      <c r="A60" s="394">
        <v>-1.2558020879209031</v>
      </c>
      <c r="B60" s="34"/>
      <c r="C60" s="56"/>
      <c r="D60" s="38"/>
      <c r="E60" s="38"/>
      <c r="F60" s="38"/>
      <c r="G60" s="322"/>
      <c r="H60" s="322"/>
      <c r="I60" s="38"/>
      <c r="J60" s="38"/>
      <c r="K60" s="38"/>
      <c r="L60" s="38"/>
      <c r="M60" s="38"/>
      <c r="N60" s="38"/>
      <c r="O60" s="38"/>
      <c r="P60" s="38"/>
      <c r="Q60" s="38"/>
      <c r="R60" s="38"/>
      <c r="S60" s="38"/>
      <c r="T60" s="38"/>
      <c r="U60" s="38"/>
      <c r="V60" s="38"/>
      <c r="W60" s="38"/>
      <c r="X60" s="38"/>
      <c r="Y60" s="38"/>
      <c r="Z60" s="57"/>
      <c r="AA60" s="105"/>
    </row>
    <row r="61" spans="1:121" x14ac:dyDescent="0.2">
      <c r="A61" s="394">
        <v>-1.2508639857853345</v>
      </c>
      <c r="B61" s="34"/>
      <c r="C61" s="56"/>
      <c r="D61" s="38"/>
      <c r="E61" s="38"/>
      <c r="F61" s="38"/>
      <c r="G61" s="322"/>
      <c r="H61" s="322"/>
      <c r="I61" s="38"/>
      <c r="J61" s="38"/>
      <c r="K61" s="38"/>
      <c r="L61" s="38"/>
      <c r="M61" s="38"/>
      <c r="N61" s="38"/>
      <c r="O61" s="38"/>
      <c r="P61" s="38"/>
      <c r="Q61" s="38"/>
      <c r="R61" s="38"/>
      <c r="S61" s="38"/>
      <c r="T61" s="38"/>
      <c r="U61" s="38"/>
      <c r="V61" s="38"/>
      <c r="W61" s="38"/>
      <c r="X61" s="38"/>
      <c r="Y61" s="38"/>
      <c r="Z61" s="57"/>
      <c r="AA61" s="105"/>
    </row>
    <row r="62" spans="1:121" x14ac:dyDescent="0.2">
      <c r="A62" s="104">
        <v>-1.2424226088441244</v>
      </c>
      <c r="B62" s="34"/>
      <c r="C62" s="56"/>
      <c r="D62" s="38"/>
      <c r="E62" s="38"/>
      <c r="F62" s="38"/>
      <c r="G62" s="322"/>
      <c r="H62" s="322"/>
      <c r="I62" s="38"/>
      <c r="J62" s="38"/>
      <c r="K62" s="38"/>
      <c r="L62" s="38"/>
      <c r="M62" s="38"/>
      <c r="N62" s="38"/>
      <c r="O62" s="38"/>
      <c r="P62" s="38"/>
      <c r="Q62" s="38"/>
      <c r="R62" s="38"/>
      <c r="S62" s="38"/>
      <c r="T62" s="38"/>
      <c r="U62" s="38"/>
      <c r="V62" s="38"/>
      <c r="W62" s="38"/>
      <c r="X62" s="38"/>
      <c r="Y62" s="38"/>
      <c r="Z62" s="57"/>
      <c r="AA62" s="105"/>
    </row>
    <row r="63" spans="1:121" x14ac:dyDescent="0.2">
      <c r="A63" s="104">
        <v>-1.2336767683841834</v>
      </c>
      <c r="B63" s="34"/>
      <c r="C63" s="56"/>
      <c r="D63" s="38"/>
      <c r="E63" s="38"/>
      <c r="F63" s="38"/>
      <c r="G63" s="322"/>
      <c r="H63" s="322"/>
      <c r="I63" s="38"/>
      <c r="J63" s="38"/>
      <c r="K63" s="38"/>
      <c r="L63" s="38"/>
      <c r="M63" s="38"/>
      <c r="N63" s="38"/>
      <c r="O63" s="38"/>
      <c r="P63" s="38"/>
      <c r="Q63" s="38"/>
      <c r="R63" s="38"/>
      <c r="S63" s="38"/>
      <c r="T63" s="38"/>
      <c r="U63" s="38"/>
      <c r="V63" s="38"/>
      <c r="W63" s="38"/>
      <c r="X63" s="38"/>
      <c r="Y63" s="38"/>
      <c r="Z63" s="57"/>
      <c r="AA63" s="105"/>
    </row>
    <row r="64" spans="1:121" x14ac:dyDescent="0.2">
      <c r="A64" s="104">
        <v>-1.2333255919844581</v>
      </c>
      <c r="B64" s="34"/>
      <c r="C64" s="56"/>
      <c r="D64" s="38"/>
      <c r="E64" s="38"/>
      <c r="F64" s="38"/>
      <c r="G64" s="322"/>
      <c r="H64" s="322"/>
      <c r="I64" s="38"/>
      <c r="J64" s="38"/>
      <c r="K64" s="38"/>
      <c r="L64" s="38"/>
      <c r="M64" s="38"/>
      <c r="N64" s="38"/>
      <c r="O64" s="38"/>
      <c r="P64" s="38"/>
      <c r="Q64" s="38"/>
      <c r="R64" s="38"/>
      <c r="S64" s="38"/>
      <c r="T64" s="38"/>
      <c r="U64" s="38"/>
      <c r="V64" s="38"/>
      <c r="W64" s="38"/>
      <c r="X64" s="38"/>
      <c r="Y64" s="38"/>
      <c r="Z64" s="57"/>
      <c r="AA64" s="105"/>
    </row>
    <row r="65" spans="1:27" x14ac:dyDescent="0.2">
      <c r="A65" s="394">
        <v>-1.2292691030502403</v>
      </c>
      <c r="B65" s="34"/>
      <c r="C65" s="56"/>
      <c r="D65" s="38"/>
      <c r="E65" s="38"/>
      <c r="F65" s="38"/>
      <c r="G65" s="322"/>
      <c r="H65" s="322"/>
      <c r="I65" s="38"/>
      <c r="J65" s="38"/>
      <c r="K65" s="38"/>
      <c r="L65" s="38"/>
      <c r="M65" s="38"/>
      <c r="N65" s="38"/>
      <c r="O65" s="38"/>
      <c r="P65" s="38"/>
      <c r="Q65" s="38"/>
      <c r="R65" s="38"/>
      <c r="S65" s="38"/>
      <c r="T65" s="38"/>
      <c r="U65" s="38"/>
      <c r="V65" s="38"/>
      <c r="W65" s="38"/>
      <c r="X65" s="38"/>
      <c r="Y65" s="38"/>
      <c r="Z65" s="57"/>
      <c r="AA65" s="105"/>
    </row>
    <row r="66" spans="1:27" x14ac:dyDescent="0.2">
      <c r="A66" s="104">
        <v>-1.2275285098268376</v>
      </c>
      <c r="B66" s="34"/>
      <c r="C66" s="56"/>
      <c r="D66" s="38"/>
      <c r="E66" s="38"/>
      <c r="F66" s="38"/>
      <c r="G66" s="322"/>
      <c r="H66" s="322"/>
      <c r="I66" s="38"/>
      <c r="J66" s="38"/>
      <c r="K66" s="38"/>
      <c r="L66" s="38"/>
      <c r="M66" s="38"/>
      <c r="N66" s="38"/>
      <c r="O66" s="38"/>
      <c r="P66" s="38"/>
      <c r="Q66" s="38"/>
      <c r="R66" s="38"/>
      <c r="S66" s="38"/>
      <c r="T66" s="38"/>
      <c r="U66" s="38"/>
      <c r="V66" s="38"/>
      <c r="W66" s="38"/>
      <c r="X66" s="38"/>
      <c r="Y66" s="38"/>
      <c r="Z66" s="57"/>
      <c r="AA66" s="105"/>
    </row>
    <row r="67" spans="1:27" x14ac:dyDescent="0.2">
      <c r="A67" s="394">
        <v>-1.2251521074741958</v>
      </c>
      <c r="B67" s="34"/>
      <c r="C67" s="56"/>
      <c r="D67" s="38"/>
      <c r="E67" s="38"/>
      <c r="F67" s="38"/>
      <c r="G67" s="322"/>
      <c r="H67" s="322"/>
      <c r="I67" s="38"/>
      <c r="J67" s="38"/>
      <c r="K67" s="38"/>
      <c r="L67" s="38"/>
      <c r="M67" s="38"/>
      <c r="N67" s="38"/>
      <c r="O67" s="38"/>
      <c r="P67" s="38"/>
      <c r="Q67" s="38"/>
      <c r="R67" s="38"/>
      <c r="S67" s="38"/>
      <c r="T67" s="38"/>
      <c r="U67" s="38"/>
      <c r="V67" s="38"/>
      <c r="W67" s="38"/>
      <c r="X67" s="38"/>
      <c r="Y67" s="38"/>
      <c r="Z67" s="57"/>
      <c r="AA67" s="105"/>
    </row>
    <row r="68" spans="1:27" x14ac:dyDescent="0.2">
      <c r="A68" s="394">
        <v>-1.2239219620353281</v>
      </c>
      <c r="B68" s="34"/>
      <c r="C68" s="56"/>
      <c r="D68" s="38"/>
      <c r="E68" s="38"/>
      <c r="F68" s="38"/>
      <c r="G68" s="322"/>
      <c r="H68" s="322"/>
      <c r="I68" s="38"/>
      <c r="J68" s="38"/>
      <c r="K68" s="38"/>
      <c r="L68" s="38"/>
      <c r="M68" s="38"/>
      <c r="N68" s="38"/>
      <c r="O68" s="38"/>
      <c r="P68" s="38"/>
      <c r="Q68" s="38"/>
      <c r="R68" s="38"/>
      <c r="S68" s="38"/>
      <c r="T68" s="38"/>
      <c r="U68" s="38"/>
      <c r="V68" s="38"/>
      <c r="W68" s="38"/>
      <c r="X68" s="38"/>
      <c r="Y68" s="38"/>
      <c r="Z68" s="57"/>
      <c r="AA68" s="105"/>
    </row>
    <row r="69" spans="1:27" x14ac:dyDescent="0.2">
      <c r="A69" s="104">
        <v>-1.2228525597770967</v>
      </c>
      <c r="B69" s="34"/>
      <c r="C69" s="56"/>
      <c r="D69" s="38"/>
      <c r="E69" s="38"/>
      <c r="F69" s="38"/>
      <c r="G69" s="322"/>
      <c r="H69" s="322"/>
      <c r="I69" s="38"/>
      <c r="J69" s="38"/>
      <c r="K69" s="38"/>
      <c r="L69" s="38"/>
      <c r="M69" s="38"/>
      <c r="N69" s="38"/>
      <c r="O69" s="38"/>
      <c r="P69" s="38"/>
      <c r="Q69" s="38"/>
      <c r="R69" s="38"/>
      <c r="S69" s="38"/>
      <c r="T69" s="38"/>
      <c r="U69" s="38"/>
      <c r="V69" s="38"/>
      <c r="W69" s="38"/>
      <c r="X69" s="38"/>
      <c r="Y69" s="38"/>
      <c r="Z69" s="57"/>
      <c r="AA69" s="105"/>
    </row>
    <row r="70" spans="1:27" x14ac:dyDescent="0.2">
      <c r="A70" s="394">
        <v>-1.2119470751304617</v>
      </c>
      <c r="B70" s="34"/>
      <c r="C70" s="56"/>
      <c r="D70" s="38"/>
      <c r="E70" s="38"/>
      <c r="F70" s="38"/>
      <c r="G70" s="322"/>
      <c r="H70" s="322"/>
      <c r="I70" s="38"/>
      <c r="J70" s="38"/>
      <c r="K70" s="38"/>
      <c r="L70" s="38"/>
      <c r="M70" s="38"/>
      <c r="N70" s="38"/>
      <c r="O70" s="38"/>
      <c r="P70" s="38"/>
      <c r="Q70" s="38"/>
      <c r="R70" s="38"/>
      <c r="S70" s="38"/>
      <c r="T70" s="38"/>
      <c r="U70" s="38"/>
      <c r="V70" s="38"/>
      <c r="W70" s="38"/>
      <c r="X70" s="38"/>
      <c r="Y70" s="38"/>
      <c r="Z70" s="57"/>
      <c r="AA70" s="105"/>
    </row>
    <row r="71" spans="1:27" x14ac:dyDescent="0.2">
      <c r="A71" s="394">
        <v>-1.2075176072525955</v>
      </c>
      <c r="B71" s="34"/>
      <c r="C71" s="56"/>
      <c r="D71" s="38"/>
      <c r="E71" s="38"/>
      <c r="F71" s="38"/>
      <c r="G71" s="322"/>
      <c r="H71" s="322"/>
      <c r="I71" s="38"/>
      <c r="J71" s="38"/>
      <c r="K71" s="38"/>
      <c r="L71" s="38"/>
      <c r="M71" s="38"/>
      <c r="N71" s="38"/>
      <c r="O71" s="38"/>
      <c r="P71" s="38"/>
      <c r="Q71" s="38"/>
      <c r="R71" s="38"/>
      <c r="S71" s="38"/>
      <c r="T71" s="38"/>
      <c r="U71" s="38"/>
      <c r="V71" s="38"/>
      <c r="W71" s="38"/>
      <c r="X71" s="38"/>
      <c r="Y71" s="38"/>
      <c r="Z71" s="57"/>
      <c r="AA71" s="105"/>
    </row>
    <row r="72" spans="1:27" x14ac:dyDescent="0.2">
      <c r="A72" s="104">
        <v>-1.2064597042221741</v>
      </c>
      <c r="B72" s="34"/>
      <c r="C72" s="56"/>
      <c r="D72" s="38"/>
      <c r="E72" s="38"/>
      <c r="F72" s="38"/>
      <c r="G72" s="322"/>
      <c r="H72" s="322"/>
      <c r="I72" s="38"/>
      <c r="J72" s="38"/>
      <c r="K72" s="38"/>
      <c r="L72" s="38"/>
      <c r="M72" s="38"/>
      <c r="N72" s="38"/>
      <c r="O72" s="38"/>
      <c r="P72" s="38"/>
      <c r="Q72" s="38"/>
      <c r="R72" s="38"/>
      <c r="S72" s="38"/>
      <c r="T72" s="38"/>
      <c r="U72" s="38"/>
      <c r="V72" s="38"/>
      <c r="W72" s="38"/>
      <c r="X72" s="38"/>
      <c r="Y72" s="38"/>
      <c r="Z72" s="57"/>
      <c r="AA72" s="105"/>
    </row>
    <row r="73" spans="1:27" x14ac:dyDescent="0.2">
      <c r="A73" s="394">
        <v>-1.2050337593966289</v>
      </c>
      <c r="B73" s="34"/>
      <c r="C73" s="56"/>
      <c r="D73" s="38"/>
      <c r="E73" s="38"/>
      <c r="F73" s="38"/>
      <c r="G73" s="322"/>
      <c r="H73" s="322"/>
      <c r="I73" s="38"/>
      <c r="J73" s="38"/>
      <c r="K73" s="38"/>
      <c r="L73" s="38"/>
      <c r="M73" s="38"/>
      <c r="N73" s="38"/>
      <c r="O73" s="38"/>
      <c r="P73" s="38"/>
      <c r="Q73" s="38"/>
      <c r="R73" s="38"/>
      <c r="S73" s="38"/>
      <c r="T73" s="38"/>
      <c r="U73" s="38"/>
      <c r="V73" s="38"/>
      <c r="W73" s="38"/>
      <c r="X73" s="38"/>
      <c r="Y73" s="38"/>
      <c r="Z73" s="57"/>
      <c r="AA73" s="105"/>
    </row>
    <row r="74" spans="1:27" x14ac:dyDescent="0.2">
      <c r="A74" s="280">
        <v>-1.2049322071098287</v>
      </c>
      <c r="B74" s="34"/>
      <c r="C74" s="56"/>
      <c r="D74" s="38"/>
      <c r="E74" s="38"/>
      <c r="F74" s="38"/>
      <c r="G74" s="322"/>
      <c r="H74" s="322"/>
      <c r="I74" s="38"/>
      <c r="J74" s="38"/>
      <c r="K74" s="38"/>
      <c r="L74" s="38"/>
      <c r="M74" s="38"/>
      <c r="N74" s="38"/>
      <c r="O74" s="38"/>
      <c r="P74" s="38"/>
      <c r="Q74" s="38"/>
      <c r="R74" s="38"/>
      <c r="S74" s="38"/>
      <c r="T74" s="38"/>
      <c r="U74" s="38"/>
      <c r="V74" s="38"/>
      <c r="W74" s="38"/>
      <c r="X74" s="38"/>
      <c r="Y74" s="38"/>
      <c r="Z74" s="57"/>
      <c r="AA74" s="105"/>
    </row>
    <row r="75" spans="1:27" x14ac:dyDescent="0.2">
      <c r="A75" s="104">
        <v>-1.2036118483941265</v>
      </c>
      <c r="B75" s="34"/>
      <c r="C75" s="56"/>
      <c r="D75" s="38"/>
      <c r="E75" s="38"/>
      <c r="F75" s="38"/>
      <c r="G75" s="322"/>
      <c r="H75" s="322"/>
      <c r="I75" s="38"/>
      <c r="J75" s="38"/>
      <c r="K75" s="38"/>
      <c r="L75" s="38"/>
      <c r="M75" s="38"/>
      <c r="N75" s="38"/>
      <c r="O75" s="38"/>
      <c r="P75" s="38"/>
      <c r="Q75" s="38"/>
      <c r="R75" s="38"/>
      <c r="S75" s="38"/>
      <c r="T75" s="38"/>
      <c r="U75" s="38"/>
      <c r="V75" s="38"/>
      <c r="W75" s="38"/>
      <c r="X75" s="38"/>
      <c r="Y75" s="38"/>
      <c r="Z75" s="57"/>
      <c r="AA75" s="105"/>
    </row>
    <row r="76" spans="1:27" x14ac:dyDescent="0.2">
      <c r="A76" s="104">
        <v>-1.1974119982334677</v>
      </c>
      <c r="B76" s="34"/>
      <c r="C76" s="56"/>
      <c r="D76" s="38"/>
      <c r="E76" s="38"/>
      <c r="F76" s="38"/>
      <c r="G76" s="322"/>
      <c r="H76" s="322"/>
      <c r="I76" s="38"/>
      <c r="J76" s="38"/>
      <c r="K76" s="38"/>
      <c r="L76" s="38"/>
      <c r="M76" s="38"/>
      <c r="N76" s="38"/>
      <c r="O76" s="38"/>
      <c r="P76" s="38"/>
      <c r="Q76" s="38"/>
      <c r="R76" s="38"/>
      <c r="S76" s="38"/>
      <c r="T76" s="38"/>
      <c r="U76" s="38"/>
      <c r="V76" s="38"/>
      <c r="W76" s="38"/>
      <c r="X76" s="38"/>
      <c r="Y76" s="38"/>
      <c r="Z76" s="57"/>
      <c r="AA76" s="105"/>
    </row>
    <row r="77" spans="1:27" x14ac:dyDescent="0.2">
      <c r="A77" s="394">
        <v>-1.1914652327593642</v>
      </c>
      <c r="B77" s="34"/>
      <c r="C77" s="56"/>
      <c r="D77" s="38"/>
      <c r="E77" s="38"/>
      <c r="F77" s="38"/>
      <c r="G77" s="322"/>
      <c r="H77" s="322"/>
      <c r="I77" s="38"/>
      <c r="J77" s="38"/>
      <c r="K77" s="38"/>
      <c r="L77" s="38"/>
      <c r="M77" s="38"/>
      <c r="N77" s="38"/>
      <c r="O77" s="38"/>
      <c r="P77" s="38"/>
      <c r="Q77" s="38"/>
      <c r="R77" s="38"/>
      <c r="S77" s="38"/>
      <c r="T77" s="38"/>
      <c r="U77" s="38"/>
      <c r="V77" s="38"/>
      <c r="W77" s="38"/>
      <c r="X77" s="38"/>
      <c r="Y77" s="38"/>
      <c r="Z77" s="57"/>
      <c r="AA77" s="105"/>
    </row>
    <row r="78" spans="1:27" x14ac:dyDescent="0.2">
      <c r="A78" s="394">
        <v>-1.1858491699847611</v>
      </c>
      <c r="B78" s="34"/>
      <c r="C78" s="56"/>
      <c r="D78" s="38"/>
      <c r="E78" s="38"/>
      <c r="F78" s="38"/>
      <c r="G78" s="322"/>
      <c r="H78" s="322"/>
      <c r="I78" s="38"/>
      <c r="J78" s="38"/>
      <c r="K78" s="38"/>
      <c r="L78" s="38"/>
      <c r="M78" s="38"/>
      <c r="N78" s="38"/>
      <c r="O78" s="38"/>
      <c r="P78" s="38"/>
      <c r="Q78" s="38"/>
      <c r="R78" s="38"/>
      <c r="S78" s="38"/>
      <c r="T78" s="38"/>
      <c r="U78" s="38"/>
      <c r="V78" s="38"/>
      <c r="W78" s="38"/>
      <c r="X78" s="38"/>
      <c r="Y78" s="38"/>
      <c r="Z78" s="57"/>
      <c r="AA78" s="105"/>
    </row>
    <row r="79" spans="1:27" x14ac:dyDescent="0.2">
      <c r="A79" s="394">
        <v>-1.1768052866290559</v>
      </c>
      <c r="B79" s="34"/>
      <c r="C79" s="56"/>
      <c r="D79" s="38"/>
      <c r="E79" s="38"/>
      <c r="F79" s="38"/>
      <c r="G79" s="322"/>
      <c r="H79" s="322"/>
      <c r="I79" s="38"/>
      <c r="J79" s="38"/>
      <c r="K79" s="38"/>
      <c r="L79" s="38"/>
      <c r="M79" s="38"/>
      <c r="N79" s="38"/>
      <c r="O79" s="38"/>
      <c r="P79" s="38"/>
      <c r="Q79" s="38"/>
      <c r="R79" s="38"/>
      <c r="S79" s="38"/>
      <c r="T79" s="38"/>
      <c r="U79" s="38"/>
      <c r="V79" s="38"/>
      <c r="W79" s="38"/>
      <c r="X79" s="38"/>
      <c r="Y79" s="38"/>
      <c r="Z79" s="57"/>
      <c r="AA79" s="105"/>
    </row>
    <row r="80" spans="1:27" x14ac:dyDescent="0.2">
      <c r="A80" s="104">
        <v>-1.163206701406208</v>
      </c>
      <c r="B80" s="34"/>
      <c r="C80" s="56"/>
      <c r="D80" s="38"/>
      <c r="E80" s="38"/>
      <c r="F80" s="38"/>
      <c r="G80" s="322"/>
      <c r="H80" s="322"/>
      <c r="I80" s="38"/>
      <c r="J80" s="38"/>
      <c r="K80" s="38"/>
      <c r="L80" s="38"/>
      <c r="M80" s="38"/>
      <c r="N80" s="38"/>
      <c r="O80" s="38"/>
      <c r="P80" s="38"/>
      <c r="Q80" s="38"/>
      <c r="R80" s="38"/>
      <c r="S80" s="38"/>
      <c r="T80" s="38"/>
      <c r="U80" s="38"/>
      <c r="V80" s="38"/>
      <c r="W80" s="38"/>
      <c r="X80" s="38"/>
      <c r="Y80" s="38"/>
      <c r="Z80" s="57"/>
      <c r="AA80" s="105"/>
    </row>
    <row r="81" spans="1:27" x14ac:dyDescent="0.2">
      <c r="A81" s="394">
        <v>-1.1450784335551965</v>
      </c>
      <c r="B81" s="34"/>
      <c r="C81" s="56"/>
      <c r="D81" s="38"/>
      <c r="E81" s="38"/>
      <c r="F81" s="38"/>
      <c r="G81" s="322"/>
      <c r="H81" s="322"/>
      <c r="I81" s="38"/>
      <c r="J81" s="38"/>
      <c r="K81" s="38"/>
      <c r="L81" s="38"/>
      <c r="M81" s="38"/>
      <c r="N81" s="38"/>
      <c r="O81" s="38"/>
      <c r="P81" s="38"/>
      <c r="Q81" s="38"/>
      <c r="R81" s="38"/>
      <c r="S81" s="38"/>
      <c r="T81" s="38"/>
      <c r="U81" s="38"/>
      <c r="V81" s="38"/>
      <c r="W81" s="38"/>
      <c r="X81" s="38"/>
      <c r="Y81" s="38"/>
      <c r="Z81" s="57"/>
      <c r="AA81" s="105"/>
    </row>
    <row r="82" spans="1:27" x14ac:dyDescent="0.2">
      <c r="A82" s="104">
        <v>-1.1367446480260077</v>
      </c>
      <c r="B82" s="34"/>
      <c r="C82" s="56"/>
      <c r="D82" s="38"/>
      <c r="E82" s="38"/>
      <c r="F82" s="38"/>
      <c r="G82" s="322"/>
      <c r="H82" s="322"/>
      <c r="I82" s="38"/>
      <c r="J82" s="38"/>
      <c r="K82" s="38"/>
      <c r="L82" s="38"/>
      <c r="M82" s="38"/>
      <c r="N82" s="38"/>
      <c r="O82" s="38"/>
      <c r="P82" s="38"/>
      <c r="Q82" s="38"/>
      <c r="R82" s="38"/>
      <c r="S82" s="38"/>
      <c r="T82" s="38"/>
      <c r="U82" s="38"/>
      <c r="V82" s="38"/>
      <c r="W82" s="38"/>
      <c r="X82" s="38"/>
      <c r="Y82" s="38"/>
      <c r="Z82" s="57"/>
      <c r="AA82" s="105"/>
    </row>
    <row r="83" spans="1:27" x14ac:dyDescent="0.2">
      <c r="A83" s="104">
        <v>-1.1326036458143967</v>
      </c>
      <c r="B83" s="34"/>
      <c r="C83" s="56"/>
      <c r="D83" s="38"/>
      <c r="E83" s="38"/>
      <c r="F83" s="38"/>
      <c r="G83" s="322"/>
      <c r="H83" s="322"/>
      <c r="I83" s="38"/>
      <c r="J83" s="38"/>
      <c r="K83" s="38"/>
      <c r="L83" s="38"/>
      <c r="M83" s="38"/>
      <c r="N83" s="38"/>
      <c r="O83" s="38"/>
      <c r="P83" s="38"/>
      <c r="Q83" s="38"/>
      <c r="R83" s="38"/>
      <c r="S83" s="38"/>
      <c r="T83" s="38"/>
      <c r="U83" s="38"/>
      <c r="V83" s="38"/>
      <c r="W83" s="38"/>
      <c r="X83" s="38"/>
      <c r="Y83" s="38"/>
      <c r="Z83" s="57"/>
      <c r="AA83" s="105"/>
    </row>
    <row r="84" spans="1:27" x14ac:dyDescent="0.2">
      <c r="A84" s="394">
        <v>-1.1287152960492697</v>
      </c>
      <c r="B84" s="34"/>
      <c r="C84" s="56"/>
      <c r="D84" s="38"/>
      <c r="E84" s="38"/>
      <c r="F84" s="38"/>
      <c r="G84" s="322"/>
      <c r="H84" s="322"/>
      <c r="I84" s="38"/>
      <c r="J84" s="38"/>
      <c r="K84" s="38"/>
      <c r="L84" s="38"/>
      <c r="M84" s="38"/>
      <c r="N84" s="38"/>
      <c r="O84" s="38"/>
      <c r="P84" s="38"/>
      <c r="Q84" s="38"/>
      <c r="R84" s="38"/>
      <c r="S84" s="38"/>
      <c r="T84" s="38"/>
      <c r="U84" s="38"/>
      <c r="V84" s="38"/>
      <c r="W84" s="38"/>
      <c r="X84" s="38"/>
      <c r="Y84" s="38"/>
      <c r="Z84" s="57"/>
      <c r="AA84" s="105"/>
    </row>
    <row r="85" spans="1:27" x14ac:dyDescent="0.2">
      <c r="A85" s="394">
        <v>-1.1220873607150827</v>
      </c>
      <c r="B85" s="34"/>
      <c r="C85" s="56"/>
      <c r="D85" s="38"/>
      <c r="E85" s="38"/>
      <c r="F85" s="38"/>
      <c r="G85" s="322"/>
      <c r="H85" s="322"/>
      <c r="I85" s="38"/>
      <c r="J85" s="38"/>
      <c r="K85" s="38"/>
      <c r="L85" s="38"/>
      <c r="M85" s="38"/>
      <c r="N85" s="38"/>
      <c r="O85" s="38"/>
      <c r="P85" s="38"/>
      <c r="Q85" s="38"/>
      <c r="R85" s="38"/>
      <c r="S85" s="38"/>
      <c r="T85" s="38"/>
      <c r="U85" s="38"/>
      <c r="V85" s="38"/>
      <c r="W85" s="38"/>
      <c r="X85" s="38"/>
      <c r="Y85" s="38"/>
      <c r="Z85" s="57"/>
      <c r="AA85" s="105"/>
    </row>
    <row r="86" spans="1:27" x14ac:dyDescent="0.2">
      <c r="A86" s="394">
        <v>-1.1125051369486783</v>
      </c>
      <c r="B86" s="34"/>
      <c r="C86" s="56"/>
      <c r="D86" s="38"/>
      <c r="E86" s="38"/>
      <c r="F86" s="38"/>
      <c r="G86" s="322"/>
      <c r="H86" s="322"/>
      <c r="I86" s="38"/>
      <c r="J86" s="38"/>
      <c r="K86" s="38"/>
      <c r="L86" s="38"/>
      <c r="M86" s="38"/>
      <c r="N86" s="38"/>
      <c r="O86" s="38"/>
      <c r="P86" s="38"/>
      <c r="Q86" s="38"/>
      <c r="R86" s="38"/>
      <c r="S86" s="38"/>
      <c r="T86" s="38"/>
      <c r="U86" s="38"/>
      <c r="V86" s="38"/>
      <c r="W86" s="38"/>
      <c r="X86" s="38"/>
      <c r="Y86" s="38"/>
      <c r="Z86" s="57"/>
      <c r="AA86" s="105"/>
    </row>
    <row r="87" spans="1:27" x14ac:dyDescent="0.2">
      <c r="A87" s="104">
        <v>-1.1069050824471645</v>
      </c>
      <c r="B87" s="34"/>
      <c r="C87" s="56"/>
      <c r="D87" s="38"/>
      <c r="E87" s="38"/>
      <c r="F87" s="38"/>
      <c r="G87" s="322"/>
      <c r="H87" s="322"/>
      <c r="I87" s="38"/>
      <c r="J87" s="38"/>
      <c r="K87" s="38"/>
      <c r="L87" s="38"/>
      <c r="M87" s="38"/>
      <c r="N87" s="38"/>
      <c r="O87" s="38"/>
      <c r="P87" s="38"/>
      <c r="Q87" s="38"/>
      <c r="R87" s="38"/>
      <c r="S87" s="38"/>
      <c r="T87" s="38"/>
      <c r="U87" s="38"/>
      <c r="V87" s="38"/>
      <c r="W87" s="38"/>
      <c r="X87" s="38"/>
      <c r="Y87" s="38"/>
      <c r="Z87" s="57"/>
      <c r="AA87" s="105"/>
    </row>
    <row r="88" spans="1:27" x14ac:dyDescent="0.2">
      <c r="A88" s="394">
        <v>-1.0944671805557404</v>
      </c>
      <c r="B88" s="34"/>
      <c r="C88" s="56"/>
      <c r="D88" s="38"/>
      <c r="E88" s="38"/>
      <c r="F88" s="38"/>
      <c r="G88" s="322"/>
      <c r="H88" s="322"/>
      <c r="I88" s="38"/>
      <c r="J88" s="38"/>
      <c r="K88" s="38"/>
      <c r="L88" s="38"/>
      <c r="M88" s="38"/>
      <c r="N88" s="38"/>
      <c r="O88" s="38"/>
      <c r="P88" s="38"/>
      <c r="Q88" s="38"/>
      <c r="R88" s="38"/>
      <c r="S88" s="38"/>
      <c r="T88" s="38"/>
      <c r="U88" s="38"/>
      <c r="V88" s="38"/>
      <c r="W88" s="38"/>
      <c r="X88" s="38"/>
      <c r="Y88" s="38"/>
      <c r="Z88" s="57"/>
      <c r="AA88" s="105"/>
    </row>
    <row r="89" spans="1:27" x14ac:dyDescent="0.2">
      <c r="A89" s="394">
        <v>-1.0904482760149938</v>
      </c>
      <c r="B89" s="34"/>
      <c r="C89" s="56"/>
      <c r="D89" s="38"/>
      <c r="E89" s="38"/>
      <c r="F89" s="38"/>
      <c r="G89" s="322"/>
      <c r="H89" s="322"/>
      <c r="I89" s="38"/>
      <c r="J89" s="38"/>
      <c r="K89" s="38"/>
      <c r="L89" s="38"/>
      <c r="M89" s="38"/>
      <c r="N89" s="38"/>
      <c r="O89" s="38"/>
      <c r="P89" s="38"/>
      <c r="Q89" s="38"/>
      <c r="R89" s="38"/>
      <c r="S89" s="38"/>
      <c r="T89" s="38"/>
      <c r="U89" s="38"/>
      <c r="V89" s="38"/>
      <c r="W89" s="38"/>
      <c r="X89" s="38"/>
      <c r="Y89" s="38"/>
      <c r="Z89" s="57"/>
      <c r="AA89" s="105"/>
    </row>
    <row r="90" spans="1:27" x14ac:dyDescent="0.2">
      <c r="A90" s="394">
        <v>-1.0816261229009725</v>
      </c>
      <c r="B90" s="34"/>
      <c r="C90" s="56"/>
      <c r="D90" s="38"/>
      <c r="E90" s="38"/>
      <c r="F90" s="38"/>
      <c r="G90" s="322"/>
      <c r="H90" s="322"/>
      <c r="I90" s="38"/>
      <c r="J90" s="38"/>
      <c r="K90" s="38"/>
      <c r="L90" s="38"/>
      <c r="M90" s="38"/>
      <c r="N90" s="38"/>
      <c r="O90" s="38"/>
      <c r="P90" s="38"/>
      <c r="Q90" s="38"/>
      <c r="R90" s="38"/>
      <c r="S90" s="38"/>
      <c r="T90" s="38"/>
      <c r="U90" s="38"/>
      <c r="V90" s="38"/>
      <c r="W90" s="38"/>
      <c r="X90" s="38"/>
      <c r="Y90" s="38"/>
      <c r="Z90" s="57"/>
      <c r="AA90" s="105"/>
    </row>
    <row r="91" spans="1:27" x14ac:dyDescent="0.2">
      <c r="A91" s="394">
        <v>-1.0768155471290597</v>
      </c>
      <c r="B91" s="34"/>
      <c r="C91" s="56"/>
      <c r="D91" s="38"/>
      <c r="E91" s="38"/>
      <c r="F91" s="38"/>
      <c r="G91" s="322"/>
      <c r="H91" s="322"/>
      <c r="I91" s="38"/>
      <c r="J91" s="38"/>
      <c r="K91" s="38"/>
      <c r="L91" s="38"/>
      <c r="M91" s="38"/>
      <c r="N91" s="38"/>
      <c r="O91" s="38"/>
      <c r="P91" s="38"/>
      <c r="Q91" s="38"/>
      <c r="R91" s="38"/>
      <c r="S91" s="38"/>
      <c r="T91" s="38"/>
      <c r="U91" s="38"/>
      <c r="V91" s="38"/>
      <c r="W91" s="38"/>
      <c r="X91" s="38"/>
      <c r="Y91" s="38"/>
      <c r="Z91" s="57"/>
      <c r="AA91" s="105"/>
    </row>
    <row r="92" spans="1:27" x14ac:dyDescent="0.2">
      <c r="A92" s="394">
        <v>-1.0717085242779425</v>
      </c>
      <c r="B92" s="34"/>
      <c r="C92" s="56"/>
      <c r="D92" s="38"/>
      <c r="E92" s="38"/>
      <c r="F92" s="38"/>
      <c r="G92" s="322"/>
      <c r="H92" s="322"/>
      <c r="I92" s="38"/>
      <c r="J92" s="38"/>
      <c r="K92" s="38"/>
      <c r="L92" s="38"/>
      <c r="M92" s="38"/>
      <c r="N92" s="38"/>
      <c r="O92" s="38"/>
      <c r="P92" s="38"/>
      <c r="Q92" s="38"/>
      <c r="R92" s="38"/>
      <c r="S92" s="38"/>
      <c r="T92" s="38"/>
      <c r="U92" s="38"/>
      <c r="V92" s="38"/>
      <c r="W92" s="38"/>
      <c r="X92" s="38"/>
      <c r="Y92" s="38"/>
      <c r="Z92" s="57"/>
      <c r="AA92" s="105"/>
    </row>
    <row r="93" spans="1:27" x14ac:dyDescent="0.2">
      <c r="A93" s="144">
        <v>-1.0673066701085587</v>
      </c>
      <c r="B93" s="34"/>
      <c r="C93" s="56"/>
      <c r="D93" s="38"/>
      <c r="E93" s="38"/>
      <c r="F93" s="38"/>
      <c r="G93" s="322"/>
      <c r="H93" s="322"/>
      <c r="I93" s="38"/>
      <c r="J93" s="38"/>
      <c r="K93" s="38"/>
      <c r="L93" s="38"/>
      <c r="M93" s="38"/>
      <c r="N93" s="38"/>
      <c r="O93" s="38"/>
      <c r="P93" s="38"/>
      <c r="Q93" s="38"/>
      <c r="R93" s="38"/>
      <c r="S93" s="38"/>
      <c r="T93" s="38"/>
      <c r="U93" s="38"/>
      <c r="V93" s="38"/>
      <c r="W93" s="38"/>
      <c r="X93" s="38"/>
      <c r="Y93" s="38"/>
      <c r="Z93" s="57"/>
      <c r="AA93" s="105"/>
    </row>
    <row r="94" spans="1:27" x14ac:dyDescent="0.2">
      <c r="A94" s="394">
        <v>-1.0654643858121715</v>
      </c>
      <c r="B94" s="34"/>
      <c r="C94" s="56"/>
      <c r="D94" s="38"/>
      <c r="E94" s="38"/>
      <c r="F94" s="38"/>
      <c r="G94" s="322"/>
      <c r="H94" s="322"/>
      <c r="I94" s="38"/>
      <c r="J94" s="38"/>
      <c r="K94" s="38"/>
      <c r="L94" s="38"/>
      <c r="M94" s="38"/>
      <c r="N94" s="38"/>
      <c r="O94" s="38"/>
      <c r="P94" s="38"/>
      <c r="Q94" s="38"/>
      <c r="R94" s="38"/>
      <c r="S94" s="38"/>
      <c r="T94" s="38"/>
      <c r="U94" s="38"/>
      <c r="V94" s="38"/>
      <c r="W94" s="38"/>
      <c r="X94" s="38"/>
      <c r="Y94" s="38"/>
      <c r="Z94" s="57"/>
      <c r="AA94" s="105"/>
    </row>
    <row r="95" spans="1:27" x14ac:dyDescent="0.2">
      <c r="A95" s="394">
        <v>-1.0633788285979171</v>
      </c>
      <c r="B95" s="34"/>
      <c r="C95" s="56"/>
      <c r="D95" s="38"/>
      <c r="E95" s="38"/>
      <c r="F95" s="38"/>
      <c r="G95" s="322"/>
      <c r="H95" s="322"/>
      <c r="I95" s="38"/>
      <c r="J95" s="38"/>
      <c r="K95" s="38"/>
      <c r="L95" s="38"/>
      <c r="M95" s="38"/>
      <c r="N95" s="38"/>
      <c r="O95" s="38"/>
      <c r="P95" s="38"/>
      <c r="Q95" s="38"/>
      <c r="R95" s="38"/>
      <c r="S95" s="38"/>
      <c r="T95" s="38"/>
      <c r="U95" s="38"/>
      <c r="V95" s="38"/>
      <c r="W95" s="38"/>
      <c r="X95" s="38"/>
      <c r="Y95" s="38"/>
      <c r="Z95" s="57"/>
      <c r="AA95" s="105"/>
    </row>
    <row r="96" spans="1:27" x14ac:dyDescent="0.2">
      <c r="A96" s="104">
        <v>-1.0480731675434369</v>
      </c>
      <c r="B96" s="34"/>
      <c r="C96" s="56"/>
      <c r="D96" s="38"/>
      <c r="E96" s="38"/>
      <c r="F96" s="38"/>
      <c r="G96" s="322"/>
      <c r="H96" s="322"/>
      <c r="I96" s="38"/>
      <c r="J96" s="38"/>
      <c r="K96" s="38"/>
      <c r="L96" s="38"/>
      <c r="M96" s="38"/>
      <c r="N96" s="38"/>
      <c r="O96" s="38"/>
      <c r="P96" s="38"/>
      <c r="Q96" s="38"/>
      <c r="R96" s="38"/>
      <c r="S96" s="38"/>
      <c r="T96" s="38"/>
      <c r="U96" s="38"/>
      <c r="V96" s="38"/>
      <c r="W96" s="38"/>
      <c r="X96" s="38"/>
      <c r="Y96" s="38"/>
      <c r="Z96" s="57"/>
      <c r="AA96" s="105"/>
    </row>
    <row r="97" spans="1:27" ht="17" thickBot="1" x14ac:dyDescent="0.25">
      <c r="A97" s="394">
        <v>-1.0468391994802118</v>
      </c>
      <c r="B97" s="34"/>
      <c r="C97" s="99"/>
      <c r="D97" s="100"/>
      <c r="E97" s="100"/>
      <c r="F97" s="100"/>
      <c r="G97" s="323"/>
      <c r="H97" s="323"/>
      <c r="I97" s="100"/>
      <c r="J97" s="100"/>
      <c r="K97" s="100"/>
      <c r="L97" s="100"/>
      <c r="M97" s="100"/>
      <c r="N97" s="100"/>
      <c r="O97" s="100"/>
      <c r="P97" s="100"/>
      <c r="Q97" s="100"/>
      <c r="R97" s="100"/>
      <c r="S97" s="100"/>
      <c r="T97" s="100"/>
      <c r="U97" s="100"/>
      <c r="V97" s="100"/>
      <c r="W97" s="100"/>
      <c r="X97" s="100"/>
      <c r="Y97" s="100"/>
      <c r="Z97" s="109"/>
      <c r="AA97" s="105"/>
    </row>
    <row r="98" spans="1:27" ht="17" thickBot="1" x14ac:dyDescent="0.25">
      <c r="A98" s="104">
        <v>-1.0344426346910232</v>
      </c>
      <c r="B98" s="106"/>
      <c r="C98" s="107"/>
      <c r="D98" s="107"/>
      <c r="E98" s="107"/>
      <c r="F98" s="107"/>
      <c r="G98" s="324"/>
      <c r="H98" s="324"/>
      <c r="I98" s="107"/>
      <c r="J98" s="107"/>
      <c r="K98" s="107"/>
      <c r="L98" s="107"/>
      <c r="M98" s="107"/>
      <c r="N98" s="107"/>
      <c r="O98" s="107"/>
      <c r="P98" s="107"/>
      <c r="Q98" s="107"/>
      <c r="R98" s="107"/>
      <c r="S98" s="107"/>
      <c r="T98" s="107"/>
      <c r="U98" s="107"/>
      <c r="V98" s="107"/>
      <c r="W98" s="107"/>
      <c r="X98" s="107"/>
      <c r="Y98" s="107"/>
      <c r="Z98" s="107"/>
      <c r="AA98" s="108"/>
    </row>
    <row r="99" spans="1:27" x14ac:dyDescent="0.2">
      <c r="A99" s="104">
        <v>-1.0318870374272691</v>
      </c>
    </row>
    <row r="100" spans="1:27" x14ac:dyDescent="0.2">
      <c r="A100" s="104">
        <v>-1.0296289114605748</v>
      </c>
    </row>
    <row r="101" spans="1:27" x14ac:dyDescent="0.2">
      <c r="A101" s="394">
        <v>-1.0265355448289326</v>
      </c>
    </row>
    <row r="102" spans="1:27" x14ac:dyDescent="0.2">
      <c r="A102" s="394">
        <v>-1.0252261393559556</v>
      </c>
    </row>
    <row r="103" spans="1:27" x14ac:dyDescent="0.2">
      <c r="A103" s="104">
        <v>-1.0248107119820609</v>
      </c>
    </row>
    <row r="104" spans="1:27" x14ac:dyDescent="0.2">
      <c r="A104" s="394">
        <v>-1.0204947649708678</v>
      </c>
    </row>
    <row r="105" spans="1:27" x14ac:dyDescent="0.2">
      <c r="A105" s="394">
        <v>-1.0156806288620337</v>
      </c>
    </row>
    <row r="106" spans="1:27" x14ac:dyDescent="0.2">
      <c r="A106" s="394">
        <v>-1.0132454378932194</v>
      </c>
    </row>
    <row r="107" spans="1:27" x14ac:dyDescent="0.2">
      <c r="A107" s="394">
        <v>-1.0012395955527409</v>
      </c>
    </row>
    <row r="108" spans="1:27" x14ac:dyDescent="0.2">
      <c r="A108" s="280">
        <v>-0.99778412796631744</v>
      </c>
    </row>
    <row r="109" spans="1:27" x14ac:dyDescent="0.2">
      <c r="A109" s="394">
        <v>-0.99487530218255449</v>
      </c>
    </row>
    <row r="110" spans="1:27" x14ac:dyDescent="0.2">
      <c r="A110" s="394">
        <v>-0.9922673138583753</v>
      </c>
    </row>
    <row r="111" spans="1:27" x14ac:dyDescent="0.2">
      <c r="A111" s="394">
        <v>-0.99200519345969829</v>
      </c>
    </row>
    <row r="112" spans="1:27" x14ac:dyDescent="0.2">
      <c r="A112" s="394">
        <v>-0.99123002783512393</v>
      </c>
    </row>
    <row r="113" spans="1:1" x14ac:dyDescent="0.2">
      <c r="A113" s="394">
        <v>-0.98377623862697783</v>
      </c>
    </row>
    <row r="114" spans="1:1" x14ac:dyDescent="0.2">
      <c r="A114" s="394">
        <v>-0.97682762917435673</v>
      </c>
    </row>
    <row r="115" spans="1:1" x14ac:dyDescent="0.2">
      <c r="A115" s="104">
        <v>-0.96947012699205148</v>
      </c>
    </row>
    <row r="116" spans="1:1" x14ac:dyDescent="0.2">
      <c r="A116" s="394">
        <v>-0.96394336357031329</v>
      </c>
    </row>
    <row r="117" spans="1:1" x14ac:dyDescent="0.2">
      <c r="A117" s="104">
        <v>-0.96389343051995757</v>
      </c>
    </row>
    <row r="118" spans="1:1" x14ac:dyDescent="0.2">
      <c r="A118" s="104">
        <v>-0.95383511162877488</v>
      </c>
    </row>
    <row r="119" spans="1:1" x14ac:dyDescent="0.2">
      <c r="A119" s="104">
        <v>-0.94894023476443701</v>
      </c>
    </row>
    <row r="120" spans="1:1" x14ac:dyDescent="0.2">
      <c r="A120" s="394">
        <v>-0.94544170554922635</v>
      </c>
    </row>
    <row r="121" spans="1:1" x14ac:dyDescent="0.2">
      <c r="A121" s="394">
        <v>-0.94090028363878409</v>
      </c>
    </row>
    <row r="122" spans="1:1" x14ac:dyDescent="0.2">
      <c r="A122" s="104">
        <v>-0.93714767987901249</v>
      </c>
    </row>
    <row r="123" spans="1:1" x14ac:dyDescent="0.2">
      <c r="A123" s="394">
        <v>-0.93374368423436638</v>
      </c>
    </row>
    <row r="124" spans="1:1" x14ac:dyDescent="0.2">
      <c r="A124" s="394">
        <v>-0.9259110187935079</v>
      </c>
    </row>
    <row r="125" spans="1:1" x14ac:dyDescent="0.2">
      <c r="A125" s="394">
        <v>-0.91099068995073085</v>
      </c>
    </row>
    <row r="126" spans="1:1" x14ac:dyDescent="0.2">
      <c r="A126" s="394">
        <v>-0.90830532665651165</v>
      </c>
    </row>
    <row r="127" spans="1:1" x14ac:dyDescent="0.2">
      <c r="A127" s="394">
        <v>-0.90702252370405179</v>
      </c>
    </row>
    <row r="128" spans="1:1" x14ac:dyDescent="0.2">
      <c r="A128" s="394">
        <v>-0.90356799697725665</v>
      </c>
    </row>
    <row r="129" spans="1:1" x14ac:dyDescent="0.2">
      <c r="A129" s="394">
        <v>-0.89809339965740664</v>
      </c>
    </row>
    <row r="130" spans="1:1" x14ac:dyDescent="0.2">
      <c r="A130" s="104">
        <v>-0.89664090434960775</v>
      </c>
    </row>
    <row r="131" spans="1:1" x14ac:dyDescent="0.2">
      <c r="A131" s="394">
        <v>-0.89589631288544569</v>
      </c>
    </row>
    <row r="132" spans="1:1" x14ac:dyDescent="0.2">
      <c r="A132" s="394">
        <v>-0.89574148950811994</v>
      </c>
    </row>
    <row r="133" spans="1:1" x14ac:dyDescent="0.2">
      <c r="A133" s="144">
        <v>-0.89523789104175722</v>
      </c>
    </row>
    <row r="134" spans="1:1" x14ac:dyDescent="0.2">
      <c r="A134" s="394">
        <v>-0.88497121487243791</v>
      </c>
    </row>
    <row r="135" spans="1:1" x14ac:dyDescent="0.2">
      <c r="A135" s="394">
        <v>-0.88373346790501872</v>
      </c>
    </row>
    <row r="136" spans="1:1" x14ac:dyDescent="0.2">
      <c r="A136" s="394">
        <v>-0.87572654041986697</v>
      </c>
    </row>
    <row r="137" spans="1:1" x14ac:dyDescent="0.2">
      <c r="A137" s="104">
        <v>-0.87410688346068843</v>
      </c>
    </row>
    <row r="138" spans="1:1" x14ac:dyDescent="0.2">
      <c r="A138" s="104">
        <v>-0.87202398058705333</v>
      </c>
    </row>
    <row r="139" spans="1:1" x14ac:dyDescent="0.2">
      <c r="A139" s="104">
        <v>-0.86458825191341893</v>
      </c>
    </row>
    <row r="140" spans="1:1" x14ac:dyDescent="0.2">
      <c r="A140" s="394">
        <v>-0.86315622661451874</v>
      </c>
    </row>
    <row r="141" spans="1:1" x14ac:dyDescent="0.2">
      <c r="A141" s="394">
        <v>-0.86068958382987537</v>
      </c>
    </row>
    <row r="142" spans="1:1" x14ac:dyDescent="0.2">
      <c r="A142" s="104">
        <v>-0.85762196201054186</v>
      </c>
    </row>
    <row r="143" spans="1:1" x14ac:dyDescent="0.2">
      <c r="A143" s="394">
        <v>-0.85436687211764228</v>
      </c>
    </row>
    <row r="144" spans="1:1" x14ac:dyDescent="0.2">
      <c r="A144" s="104">
        <v>-0.8510837450385913</v>
      </c>
    </row>
    <row r="145" spans="1:1" x14ac:dyDescent="0.2">
      <c r="A145" s="394">
        <v>-0.84878167779842217</v>
      </c>
    </row>
    <row r="146" spans="1:1" x14ac:dyDescent="0.2">
      <c r="A146" s="394">
        <v>-0.84409794718610121</v>
      </c>
    </row>
    <row r="147" spans="1:1" x14ac:dyDescent="0.2">
      <c r="A147" s="394">
        <v>-0.84017656451958234</v>
      </c>
    </row>
    <row r="148" spans="1:1" x14ac:dyDescent="0.2">
      <c r="A148" s="104">
        <v>-0.836168090906655</v>
      </c>
    </row>
    <row r="149" spans="1:1" x14ac:dyDescent="0.2">
      <c r="A149" s="394">
        <v>-0.82959594455941987</v>
      </c>
    </row>
    <row r="150" spans="1:1" hidden="1" x14ac:dyDescent="0.2">
      <c r="A150" s="394">
        <v>-0.82910106934759897</v>
      </c>
    </row>
    <row r="151" spans="1:1" hidden="1" x14ac:dyDescent="0.2">
      <c r="A151" s="394">
        <v>-0.82574229480364769</v>
      </c>
    </row>
    <row r="152" spans="1:1" hidden="1" x14ac:dyDescent="0.2">
      <c r="A152" s="104">
        <v>-0.82098105333526439</v>
      </c>
    </row>
    <row r="153" spans="1:1" hidden="1" x14ac:dyDescent="0.2">
      <c r="A153" s="394">
        <v>-0.820958136090565</v>
      </c>
    </row>
    <row r="154" spans="1:1" hidden="1" x14ac:dyDescent="0.2">
      <c r="A154" s="394">
        <v>-0.81977992173309511</v>
      </c>
    </row>
    <row r="155" spans="1:1" hidden="1" x14ac:dyDescent="0.2">
      <c r="A155" s="104">
        <v>-0.81600950226813185</v>
      </c>
    </row>
    <row r="156" spans="1:1" hidden="1" x14ac:dyDescent="0.2">
      <c r="A156" s="394">
        <v>-0.81576333572941595</v>
      </c>
    </row>
    <row r="157" spans="1:1" hidden="1" x14ac:dyDescent="0.2">
      <c r="A157" s="104">
        <v>-0.80260671659653016</v>
      </c>
    </row>
    <row r="158" spans="1:1" hidden="1" x14ac:dyDescent="0.2">
      <c r="A158" s="394">
        <v>-0.79978157738237377</v>
      </c>
    </row>
    <row r="159" spans="1:1" hidden="1" x14ac:dyDescent="0.2">
      <c r="A159" s="104">
        <v>-0.79805290003086216</v>
      </c>
    </row>
    <row r="160" spans="1:1" hidden="1" x14ac:dyDescent="0.2">
      <c r="A160" s="104">
        <v>-0.79049444742745367</v>
      </c>
    </row>
    <row r="161" spans="1:1" hidden="1" x14ac:dyDescent="0.2">
      <c r="A161" s="394">
        <v>-0.77417153961373375</v>
      </c>
    </row>
    <row r="162" spans="1:1" hidden="1" x14ac:dyDescent="0.2">
      <c r="A162" s="394">
        <v>-0.77104569488269226</v>
      </c>
    </row>
    <row r="163" spans="1:1" hidden="1" x14ac:dyDescent="0.2">
      <c r="A163" s="144">
        <v>-0.7703452143853915</v>
      </c>
    </row>
    <row r="164" spans="1:1" hidden="1" x14ac:dyDescent="0.2">
      <c r="A164" s="394">
        <v>-0.77011914631637657</v>
      </c>
    </row>
    <row r="165" spans="1:1" hidden="1" x14ac:dyDescent="0.2">
      <c r="A165" s="394">
        <v>-0.76595510392857025</v>
      </c>
    </row>
    <row r="166" spans="1:1" hidden="1" x14ac:dyDescent="0.2">
      <c r="A166" s="394">
        <v>-0.75853754183266064</v>
      </c>
    </row>
    <row r="167" spans="1:1" hidden="1" x14ac:dyDescent="0.2">
      <c r="A167" s="104">
        <v>-0.75711743254954689</v>
      </c>
    </row>
    <row r="168" spans="1:1" hidden="1" x14ac:dyDescent="0.2">
      <c r="A168" s="394">
        <v>-0.75637723953636415</v>
      </c>
    </row>
    <row r="169" spans="1:1" hidden="1" x14ac:dyDescent="0.2">
      <c r="A169" s="104">
        <v>-0.7558647708032934</v>
      </c>
    </row>
    <row r="170" spans="1:1" hidden="1" x14ac:dyDescent="0.2">
      <c r="A170" s="394">
        <v>-0.74746139732630246</v>
      </c>
    </row>
    <row r="171" spans="1:1" hidden="1" x14ac:dyDescent="0.2">
      <c r="A171" s="394">
        <v>-0.7421314901560776</v>
      </c>
    </row>
    <row r="172" spans="1:1" hidden="1" x14ac:dyDescent="0.2">
      <c r="A172" s="104">
        <v>-0.73818579040146792</v>
      </c>
    </row>
    <row r="173" spans="1:1" hidden="1" x14ac:dyDescent="0.2">
      <c r="A173" s="104">
        <v>-0.73788056404611657</v>
      </c>
    </row>
    <row r="174" spans="1:1" hidden="1" x14ac:dyDescent="0.2">
      <c r="A174" s="394">
        <v>-0.73640830531456691</v>
      </c>
    </row>
    <row r="175" spans="1:1" hidden="1" x14ac:dyDescent="0.2">
      <c r="A175" s="394">
        <v>-0.73356157307722958</v>
      </c>
    </row>
    <row r="176" spans="1:1" hidden="1" x14ac:dyDescent="0.2">
      <c r="A176" s="394">
        <v>-0.73085730666875781</v>
      </c>
    </row>
    <row r="177" spans="1:1" hidden="1" x14ac:dyDescent="0.2">
      <c r="A177" s="104">
        <v>-0.72947376421178711</v>
      </c>
    </row>
    <row r="178" spans="1:1" hidden="1" x14ac:dyDescent="0.2">
      <c r="A178" s="104">
        <v>-0.72832844758037174</v>
      </c>
    </row>
    <row r="179" spans="1:1" hidden="1" x14ac:dyDescent="0.2">
      <c r="A179" s="394">
        <v>-0.72744883168772878</v>
      </c>
    </row>
    <row r="180" spans="1:1" hidden="1" x14ac:dyDescent="0.2">
      <c r="A180" s="394">
        <v>-0.72589922766889492</v>
      </c>
    </row>
    <row r="181" spans="1:1" hidden="1" x14ac:dyDescent="0.2">
      <c r="A181" s="394">
        <v>-0.71846836000770642</v>
      </c>
    </row>
    <row r="182" spans="1:1" hidden="1" x14ac:dyDescent="0.2">
      <c r="A182" s="394">
        <v>-0.71833231206832471</v>
      </c>
    </row>
    <row r="183" spans="1:1" hidden="1" x14ac:dyDescent="0.2">
      <c r="A183" s="394">
        <v>-0.71640205340134733</v>
      </c>
    </row>
    <row r="184" spans="1:1" hidden="1" x14ac:dyDescent="0.2">
      <c r="A184" s="394">
        <v>-0.71118026796920253</v>
      </c>
    </row>
    <row r="185" spans="1:1" hidden="1" x14ac:dyDescent="0.2">
      <c r="A185" s="144">
        <v>-0.70874086963587279</v>
      </c>
    </row>
    <row r="186" spans="1:1" hidden="1" x14ac:dyDescent="0.2">
      <c r="A186" s="144">
        <v>-0.70788234321011012</v>
      </c>
    </row>
    <row r="187" spans="1:1" hidden="1" x14ac:dyDescent="0.2">
      <c r="A187" s="394">
        <v>-0.70303411279119876</v>
      </c>
    </row>
    <row r="188" spans="1:1" hidden="1" x14ac:dyDescent="0.2">
      <c r="A188" s="394">
        <v>-0.69922722179482255</v>
      </c>
    </row>
    <row r="189" spans="1:1" hidden="1" x14ac:dyDescent="0.2">
      <c r="A189" s="104">
        <v>-0.69881095288422435</v>
      </c>
    </row>
    <row r="190" spans="1:1" hidden="1" x14ac:dyDescent="0.2">
      <c r="A190" s="104">
        <v>-0.69124575144870226</v>
      </c>
    </row>
    <row r="191" spans="1:1" hidden="1" x14ac:dyDescent="0.2">
      <c r="A191" s="394">
        <v>-0.69083108127793613</v>
      </c>
    </row>
    <row r="192" spans="1:1" hidden="1" x14ac:dyDescent="0.2">
      <c r="A192" s="394">
        <v>-0.68419693355204236</v>
      </c>
    </row>
    <row r="193" spans="1:1" hidden="1" x14ac:dyDescent="0.2">
      <c r="A193" s="104">
        <v>-0.68387432954753669</v>
      </c>
    </row>
    <row r="194" spans="1:1" hidden="1" x14ac:dyDescent="0.2">
      <c r="A194" s="104">
        <v>-0.68361484722124777</v>
      </c>
    </row>
    <row r="195" spans="1:1" hidden="1" x14ac:dyDescent="0.2">
      <c r="A195" s="394">
        <v>-0.68344965389139523</v>
      </c>
    </row>
    <row r="196" spans="1:1" hidden="1" x14ac:dyDescent="0.2">
      <c r="A196" s="394">
        <v>-0.68045081799815099</v>
      </c>
    </row>
    <row r="197" spans="1:1" hidden="1" x14ac:dyDescent="0.2">
      <c r="A197" s="104">
        <v>-0.67824007031231792</v>
      </c>
    </row>
    <row r="198" spans="1:1" hidden="1" x14ac:dyDescent="0.2">
      <c r="A198" s="104">
        <v>-0.67637702039068648</v>
      </c>
    </row>
    <row r="199" spans="1:1" hidden="1" x14ac:dyDescent="0.2">
      <c r="A199" s="104">
        <v>-0.67547561066133488</v>
      </c>
    </row>
    <row r="200" spans="1:1" hidden="1" x14ac:dyDescent="0.2">
      <c r="A200" s="394">
        <v>-0.67094629154108665</v>
      </c>
    </row>
    <row r="201" spans="1:1" hidden="1" x14ac:dyDescent="0.2">
      <c r="A201" s="394">
        <v>-0.67049235021219777</v>
      </c>
    </row>
    <row r="202" spans="1:1" hidden="1" x14ac:dyDescent="0.2">
      <c r="A202" s="104">
        <v>-0.66949714113180425</v>
      </c>
    </row>
    <row r="203" spans="1:1" hidden="1" x14ac:dyDescent="0.2">
      <c r="A203" s="104">
        <v>-0.66563175436256961</v>
      </c>
    </row>
    <row r="204" spans="1:1" hidden="1" x14ac:dyDescent="0.2">
      <c r="A204" s="104">
        <v>-0.66490654087172762</v>
      </c>
    </row>
    <row r="205" spans="1:1" hidden="1" x14ac:dyDescent="0.2">
      <c r="A205" s="104">
        <v>-0.65989802634456529</v>
      </c>
    </row>
    <row r="206" spans="1:1" hidden="1" x14ac:dyDescent="0.2">
      <c r="A206" s="104">
        <v>-0.6578723053374218</v>
      </c>
    </row>
    <row r="207" spans="1:1" hidden="1" x14ac:dyDescent="0.2">
      <c r="A207" s="394">
        <v>-0.65265453910810711</v>
      </c>
    </row>
    <row r="208" spans="1:1" hidden="1" x14ac:dyDescent="0.2">
      <c r="A208" s="394">
        <v>-0.64490294114966806</v>
      </c>
    </row>
    <row r="209" spans="1:1" hidden="1" x14ac:dyDescent="0.2">
      <c r="A209" s="104">
        <v>-0.64489060404646048</v>
      </c>
    </row>
    <row r="210" spans="1:1" hidden="1" x14ac:dyDescent="0.2">
      <c r="A210" s="394">
        <v>-0.63960814001086552</v>
      </c>
    </row>
    <row r="211" spans="1:1" hidden="1" x14ac:dyDescent="0.2">
      <c r="A211" s="104">
        <v>-0.63225547838100249</v>
      </c>
    </row>
    <row r="212" spans="1:1" hidden="1" x14ac:dyDescent="0.2">
      <c r="A212" s="104">
        <v>-0.62432881027146914</v>
      </c>
    </row>
    <row r="213" spans="1:1" hidden="1" x14ac:dyDescent="0.2">
      <c r="A213" s="104">
        <v>-0.62327836223400501</v>
      </c>
    </row>
    <row r="214" spans="1:1" hidden="1" x14ac:dyDescent="0.2">
      <c r="A214" s="394">
        <v>-0.62252762122256788</v>
      </c>
    </row>
    <row r="215" spans="1:1" hidden="1" x14ac:dyDescent="0.2">
      <c r="A215" s="394">
        <v>-0.62214957408983684</v>
      </c>
    </row>
    <row r="216" spans="1:1" hidden="1" x14ac:dyDescent="0.2">
      <c r="A216" s="394">
        <v>-0.61888305890932349</v>
      </c>
    </row>
    <row r="217" spans="1:1" hidden="1" x14ac:dyDescent="0.2">
      <c r="A217" s="144">
        <v>-0.61120778745865456</v>
      </c>
    </row>
    <row r="218" spans="1:1" hidden="1" x14ac:dyDescent="0.2">
      <c r="A218" s="394">
        <v>-0.60866805476249786</v>
      </c>
    </row>
    <row r="219" spans="1:1" hidden="1" x14ac:dyDescent="0.2">
      <c r="A219" s="104">
        <v>-0.60863803638304637</v>
      </c>
    </row>
    <row r="220" spans="1:1" hidden="1" x14ac:dyDescent="0.2">
      <c r="A220" s="104">
        <v>-0.60695816893693921</v>
      </c>
    </row>
    <row r="221" spans="1:1" hidden="1" x14ac:dyDescent="0.2">
      <c r="A221" s="394">
        <v>-0.60348328986433009</v>
      </c>
    </row>
    <row r="222" spans="1:1" hidden="1" x14ac:dyDescent="0.2">
      <c r="A222" s="394">
        <v>-0.60187508476113782</v>
      </c>
    </row>
    <row r="223" spans="1:1" hidden="1" x14ac:dyDescent="0.2">
      <c r="A223" s="394">
        <v>-0.59767478531539231</v>
      </c>
    </row>
    <row r="224" spans="1:1" hidden="1" x14ac:dyDescent="0.2">
      <c r="A224" s="394">
        <v>-0.5973407550583274</v>
      </c>
    </row>
    <row r="225" spans="1:1" hidden="1" x14ac:dyDescent="0.2">
      <c r="A225" s="394">
        <v>-0.5969640186295968</v>
      </c>
    </row>
    <row r="226" spans="1:1" hidden="1" x14ac:dyDescent="0.2">
      <c r="A226" s="104">
        <v>-0.59619326670790818</v>
      </c>
    </row>
    <row r="227" spans="1:1" hidden="1" x14ac:dyDescent="0.2">
      <c r="A227" s="104">
        <v>-0.59523065647416606</v>
      </c>
    </row>
    <row r="228" spans="1:1" hidden="1" x14ac:dyDescent="0.2">
      <c r="A228" s="394">
        <v>-0.59500994602941537</v>
      </c>
    </row>
    <row r="229" spans="1:1" hidden="1" x14ac:dyDescent="0.2">
      <c r="A229" s="394">
        <v>-0.59233286814265318</v>
      </c>
    </row>
    <row r="230" spans="1:1" hidden="1" x14ac:dyDescent="0.2">
      <c r="A230" s="394">
        <v>-0.5888717488744617</v>
      </c>
    </row>
    <row r="231" spans="1:1" hidden="1" x14ac:dyDescent="0.2">
      <c r="A231" s="104">
        <v>-0.58807725589320148</v>
      </c>
    </row>
    <row r="232" spans="1:1" hidden="1" x14ac:dyDescent="0.2">
      <c r="A232" s="104">
        <v>-0.58541909514102874</v>
      </c>
    </row>
    <row r="233" spans="1:1" hidden="1" x14ac:dyDescent="0.2">
      <c r="A233" s="104">
        <v>-0.57279518527661943</v>
      </c>
    </row>
    <row r="234" spans="1:1" hidden="1" x14ac:dyDescent="0.2">
      <c r="A234" s="104">
        <v>-0.56908625498250975</v>
      </c>
    </row>
    <row r="235" spans="1:1" hidden="1" x14ac:dyDescent="0.2">
      <c r="A235" s="104">
        <v>-0.56872201477258733</v>
      </c>
    </row>
    <row r="236" spans="1:1" hidden="1" x14ac:dyDescent="0.2">
      <c r="A236" s="104">
        <v>-0.56621306256353554</v>
      </c>
    </row>
    <row r="237" spans="1:1" hidden="1" x14ac:dyDescent="0.2">
      <c r="A237" s="394">
        <v>-0.56440209280352382</v>
      </c>
    </row>
    <row r="238" spans="1:1" hidden="1" x14ac:dyDescent="0.2">
      <c r="A238" s="394">
        <v>-0.56063595050903592</v>
      </c>
    </row>
    <row r="239" spans="1:1" hidden="1" x14ac:dyDescent="0.2">
      <c r="A239" s="394">
        <v>-0.56058340445812993</v>
      </c>
    </row>
    <row r="240" spans="1:1" hidden="1" x14ac:dyDescent="0.2">
      <c r="A240" s="104">
        <v>-0.55970780952292065</v>
      </c>
    </row>
    <row r="241" spans="1:1" hidden="1" x14ac:dyDescent="0.2">
      <c r="A241" s="104">
        <v>-0.55287516736108833</v>
      </c>
    </row>
    <row r="242" spans="1:1" hidden="1" x14ac:dyDescent="0.2">
      <c r="A242" s="104">
        <v>-0.55085678802694593</v>
      </c>
    </row>
    <row r="243" spans="1:1" hidden="1" x14ac:dyDescent="0.2">
      <c r="A243" s="394">
        <v>-0.5470474497774922</v>
      </c>
    </row>
    <row r="244" spans="1:1" hidden="1" x14ac:dyDescent="0.2">
      <c r="A244" s="104">
        <v>-0.53918295744702638</v>
      </c>
    </row>
    <row r="245" spans="1:1" hidden="1" x14ac:dyDescent="0.2">
      <c r="A245" s="394">
        <v>-0.53647261787422218</v>
      </c>
    </row>
    <row r="246" spans="1:1" hidden="1" x14ac:dyDescent="0.2">
      <c r="A246" s="394">
        <v>-0.53602845519462283</v>
      </c>
    </row>
    <row r="247" spans="1:1" hidden="1" x14ac:dyDescent="0.2">
      <c r="A247" s="104">
        <v>-0.53397138148844681</v>
      </c>
    </row>
    <row r="248" spans="1:1" hidden="1" x14ac:dyDescent="0.2">
      <c r="A248" s="280">
        <v>-0.53358282923531908</v>
      </c>
    </row>
    <row r="249" spans="1:1" hidden="1" x14ac:dyDescent="0.2">
      <c r="A249" s="104">
        <v>-0.52977569802007229</v>
      </c>
    </row>
    <row r="250" spans="1:1" hidden="1" x14ac:dyDescent="0.2">
      <c r="A250" s="104">
        <v>-0.52865641717897693</v>
      </c>
    </row>
    <row r="251" spans="1:1" hidden="1" x14ac:dyDescent="0.2">
      <c r="A251" s="394">
        <v>-0.52494264967047277</v>
      </c>
    </row>
    <row r="252" spans="1:1" hidden="1" x14ac:dyDescent="0.2">
      <c r="A252" s="394">
        <v>-0.52281876203974909</v>
      </c>
    </row>
    <row r="253" spans="1:1" hidden="1" x14ac:dyDescent="0.2">
      <c r="A253" s="104">
        <v>-0.51960811858768485</v>
      </c>
    </row>
    <row r="254" spans="1:1" hidden="1" x14ac:dyDescent="0.2">
      <c r="A254" s="394">
        <v>-0.51828268431025881</v>
      </c>
    </row>
    <row r="255" spans="1:1" hidden="1" x14ac:dyDescent="0.2">
      <c r="A255" s="104">
        <v>-0.51656362974230907</v>
      </c>
    </row>
    <row r="256" spans="1:1" hidden="1" x14ac:dyDescent="0.2">
      <c r="A256" s="104">
        <v>-0.51442082829760372</v>
      </c>
    </row>
    <row r="257" spans="1:1" hidden="1" x14ac:dyDescent="0.2">
      <c r="A257" s="104">
        <v>-0.51333666397970878</v>
      </c>
    </row>
    <row r="258" spans="1:1" hidden="1" x14ac:dyDescent="0.2">
      <c r="A258" s="104">
        <v>-0.50579925272714155</v>
      </c>
    </row>
    <row r="259" spans="1:1" hidden="1" x14ac:dyDescent="0.2">
      <c r="A259" s="394">
        <v>-0.5049165795411148</v>
      </c>
    </row>
    <row r="260" spans="1:1" hidden="1" x14ac:dyDescent="0.2">
      <c r="A260" s="104">
        <v>-0.50340888098151149</v>
      </c>
    </row>
    <row r="261" spans="1:1" hidden="1" x14ac:dyDescent="0.2">
      <c r="A261" s="394">
        <v>-0.50325651904382829</v>
      </c>
    </row>
    <row r="262" spans="1:1" hidden="1" x14ac:dyDescent="0.2">
      <c r="A262" s="104">
        <v>-0.5029674198949734</v>
      </c>
    </row>
    <row r="263" spans="1:1" hidden="1" x14ac:dyDescent="0.2">
      <c r="A263" s="394">
        <v>-0.50258932365989883</v>
      </c>
    </row>
    <row r="264" spans="1:1" hidden="1" x14ac:dyDescent="0.2">
      <c r="A264" s="394">
        <v>-0.50189061506563126</v>
      </c>
    </row>
    <row r="265" spans="1:1" hidden="1" x14ac:dyDescent="0.2">
      <c r="A265" s="394">
        <v>-0.49889032954920287</v>
      </c>
    </row>
    <row r="266" spans="1:1" hidden="1" x14ac:dyDescent="0.2">
      <c r="A266" s="104">
        <v>-0.49053214294704039</v>
      </c>
    </row>
    <row r="267" spans="1:1" hidden="1" x14ac:dyDescent="0.2">
      <c r="A267" s="394">
        <v>-0.48532155344783012</v>
      </c>
    </row>
    <row r="268" spans="1:1" hidden="1" x14ac:dyDescent="0.2">
      <c r="A268" s="394">
        <v>-0.48203019746984799</v>
      </c>
    </row>
    <row r="269" spans="1:1" hidden="1" x14ac:dyDescent="0.2">
      <c r="A269" s="394">
        <v>-0.47329243731612314</v>
      </c>
    </row>
    <row r="270" spans="1:1" hidden="1" x14ac:dyDescent="0.2">
      <c r="A270" s="394">
        <v>-0.47180802972534286</v>
      </c>
    </row>
    <row r="271" spans="1:1" hidden="1" x14ac:dyDescent="0.2">
      <c r="A271" s="394">
        <v>-0.47175945896773674</v>
      </c>
    </row>
    <row r="272" spans="1:1" hidden="1" x14ac:dyDescent="0.2">
      <c r="A272" s="394">
        <v>-0.46892034288690132</v>
      </c>
    </row>
    <row r="273" spans="1:1" hidden="1" x14ac:dyDescent="0.2">
      <c r="A273" s="394">
        <v>-0.46518373042455385</v>
      </c>
    </row>
    <row r="274" spans="1:1" hidden="1" x14ac:dyDescent="0.2">
      <c r="A274" s="394">
        <v>-0.46335191209181081</v>
      </c>
    </row>
    <row r="275" spans="1:1" hidden="1" x14ac:dyDescent="0.2">
      <c r="A275" s="104">
        <v>-0.46251877850032619</v>
      </c>
    </row>
    <row r="276" spans="1:1" hidden="1" x14ac:dyDescent="0.2">
      <c r="A276" s="394">
        <v>-0.45864847181905111</v>
      </c>
    </row>
    <row r="277" spans="1:1" hidden="1" x14ac:dyDescent="0.2">
      <c r="A277" s="394">
        <v>-0.45689842176816731</v>
      </c>
    </row>
    <row r="278" spans="1:1" hidden="1" x14ac:dyDescent="0.2">
      <c r="A278" s="394">
        <v>-0.45655699998384369</v>
      </c>
    </row>
    <row r="279" spans="1:1" hidden="1" x14ac:dyDescent="0.2">
      <c r="A279" s="394">
        <v>-0.45240106103718369</v>
      </c>
    </row>
    <row r="280" spans="1:1" hidden="1" x14ac:dyDescent="0.2">
      <c r="A280" s="394">
        <v>-0.44973314253696139</v>
      </c>
    </row>
    <row r="281" spans="1:1" hidden="1" x14ac:dyDescent="0.2">
      <c r="A281" s="394">
        <v>-0.4432064631841981</v>
      </c>
    </row>
    <row r="282" spans="1:1" hidden="1" x14ac:dyDescent="0.2">
      <c r="A282" s="144">
        <v>-0.44022878080112227</v>
      </c>
    </row>
    <row r="283" spans="1:1" hidden="1" x14ac:dyDescent="0.2">
      <c r="A283" s="394">
        <v>-0.4395889303500744</v>
      </c>
    </row>
    <row r="284" spans="1:1" hidden="1" x14ac:dyDescent="0.2">
      <c r="A284" s="104">
        <v>-0.43720993722852475</v>
      </c>
    </row>
    <row r="285" spans="1:1" hidden="1" x14ac:dyDescent="0.2">
      <c r="A285" s="104">
        <v>-0.43701651950057885</v>
      </c>
    </row>
    <row r="286" spans="1:1" hidden="1" x14ac:dyDescent="0.2">
      <c r="A286" s="394">
        <v>-0.43456886492257985</v>
      </c>
    </row>
    <row r="287" spans="1:1" hidden="1" x14ac:dyDescent="0.2">
      <c r="A287" s="104">
        <v>-0.43450505220751401</v>
      </c>
    </row>
    <row r="288" spans="1:1" hidden="1" x14ac:dyDescent="0.2">
      <c r="A288" s="394">
        <v>-0.4320783730472697</v>
      </c>
    </row>
    <row r="289" spans="1:1" hidden="1" x14ac:dyDescent="0.2">
      <c r="A289" s="394">
        <v>-0.43052558757234527</v>
      </c>
    </row>
    <row r="290" spans="1:1" hidden="1" x14ac:dyDescent="0.2">
      <c r="A290" s="104">
        <v>-0.42704050039596231</v>
      </c>
    </row>
    <row r="291" spans="1:1" hidden="1" x14ac:dyDescent="0.2">
      <c r="A291" s="394">
        <v>-0.42287086595970669</v>
      </c>
    </row>
    <row r="292" spans="1:1" hidden="1" x14ac:dyDescent="0.2">
      <c r="A292" s="104">
        <v>-0.41690321517659035</v>
      </c>
    </row>
    <row r="293" spans="1:1" hidden="1" x14ac:dyDescent="0.2">
      <c r="A293" s="394">
        <v>-0.41686206166109718</v>
      </c>
    </row>
    <row r="294" spans="1:1" hidden="1" x14ac:dyDescent="0.2">
      <c r="A294" s="394">
        <v>-0.40959360752458229</v>
      </c>
    </row>
    <row r="295" spans="1:1" hidden="1" x14ac:dyDescent="0.2">
      <c r="A295" s="394">
        <v>-0.40817016310740462</v>
      </c>
    </row>
    <row r="296" spans="1:1" hidden="1" x14ac:dyDescent="0.2">
      <c r="A296" s="394">
        <v>-0.40801010870072352</v>
      </c>
    </row>
    <row r="297" spans="1:1" hidden="1" x14ac:dyDescent="0.2">
      <c r="A297" s="394">
        <v>-0.40554939503203391</v>
      </c>
    </row>
    <row r="298" spans="1:1" hidden="1" x14ac:dyDescent="0.2">
      <c r="A298" s="394">
        <v>-0.40301573810802926</v>
      </c>
    </row>
    <row r="299" spans="1:1" hidden="1" x14ac:dyDescent="0.2">
      <c r="A299" s="104">
        <v>-0.3969372046572075</v>
      </c>
    </row>
    <row r="300" spans="1:1" hidden="1" x14ac:dyDescent="0.2">
      <c r="A300" s="394">
        <v>-0.3965018205101507</v>
      </c>
    </row>
    <row r="301" spans="1:1" hidden="1" x14ac:dyDescent="0.2">
      <c r="A301" s="104">
        <v>-0.39630010189978782</v>
      </c>
    </row>
    <row r="302" spans="1:1" hidden="1" x14ac:dyDescent="0.2">
      <c r="A302" s="394">
        <v>-0.38262171718588212</v>
      </c>
    </row>
    <row r="303" spans="1:1" hidden="1" x14ac:dyDescent="0.2">
      <c r="A303" s="394">
        <v>-0.38181255538271008</v>
      </c>
    </row>
    <row r="304" spans="1:1" hidden="1" x14ac:dyDescent="0.2">
      <c r="A304" s="394">
        <v>-0.38056682100500216</v>
      </c>
    </row>
    <row r="305" spans="1:1" hidden="1" x14ac:dyDescent="0.2">
      <c r="A305" s="104">
        <v>-0.37875551217418524</v>
      </c>
    </row>
    <row r="306" spans="1:1" hidden="1" x14ac:dyDescent="0.2">
      <c r="A306" s="104">
        <v>-0.37871000095264185</v>
      </c>
    </row>
    <row r="307" spans="1:1" hidden="1" x14ac:dyDescent="0.2">
      <c r="A307" s="280">
        <v>-0.37730231944811754</v>
      </c>
    </row>
    <row r="308" spans="1:1" hidden="1" x14ac:dyDescent="0.2">
      <c r="A308" s="394">
        <v>-0.37599062038863584</v>
      </c>
    </row>
    <row r="309" spans="1:1" hidden="1" x14ac:dyDescent="0.2">
      <c r="A309" s="394">
        <v>-0.37532264662288162</v>
      </c>
    </row>
    <row r="310" spans="1:1" hidden="1" x14ac:dyDescent="0.2">
      <c r="A310" s="394">
        <v>-0.37331952097171728</v>
      </c>
    </row>
    <row r="311" spans="1:1" hidden="1" x14ac:dyDescent="0.2">
      <c r="A311" s="144">
        <v>-0.37086711425679075</v>
      </c>
    </row>
    <row r="312" spans="1:1" hidden="1" x14ac:dyDescent="0.2">
      <c r="A312" s="104">
        <v>-0.36700324686873165</v>
      </c>
    </row>
    <row r="313" spans="1:1" hidden="1" x14ac:dyDescent="0.2">
      <c r="A313" s="104">
        <v>-0.36617603246116337</v>
      </c>
    </row>
    <row r="314" spans="1:1" hidden="1" x14ac:dyDescent="0.2">
      <c r="A314" s="104">
        <v>-0.36409868760220609</v>
      </c>
    </row>
    <row r="315" spans="1:1" hidden="1" x14ac:dyDescent="0.2">
      <c r="A315" s="394">
        <v>-0.3466292611656896</v>
      </c>
    </row>
    <row r="316" spans="1:1" hidden="1" x14ac:dyDescent="0.2">
      <c r="A316" s="104">
        <v>-0.34036791095076557</v>
      </c>
    </row>
    <row r="317" spans="1:1" hidden="1" x14ac:dyDescent="0.2">
      <c r="A317" s="394">
        <v>-0.33888609575771644</v>
      </c>
    </row>
    <row r="318" spans="1:1" hidden="1" x14ac:dyDescent="0.2">
      <c r="A318" s="394">
        <v>-0.33315167990922978</v>
      </c>
    </row>
    <row r="319" spans="1:1" hidden="1" x14ac:dyDescent="0.2">
      <c r="A319" s="394">
        <v>-0.33304618608787839</v>
      </c>
    </row>
    <row r="320" spans="1:1" hidden="1" x14ac:dyDescent="0.2">
      <c r="A320" s="104">
        <v>-0.32937251889052055</v>
      </c>
    </row>
    <row r="321" spans="1:1" hidden="1" x14ac:dyDescent="0.2">
      <c r="A321" s="394">
        <v>-0.32875506099642626</v>
      </c>
    </row>
    <row r="322" spans="1:1" hidden="1" x14ac:dyDescent="0.2">
      <c r="A322" s="104">
        <v>-0.32743160608991806</v>
      </c>
    </row>
    <row r="323" spans="1:1" hidden="1" x14ac:dyDescent="0.2">
      <c r="A323" s="104">
        <v>-0.32535485628262739</v>
      </c>
    </row>
    <row r="324" spans="1:1" hidden="1" x14ac:dyDescent="0.2">
      <c r="A324" s="394">
        <v>-0.32481116668621857</v>
      </c>
    </row>
    <row r="325" spans="1:1" hidden="1" x14ac:dyDescent="0.2">
      <c r="A325" s="394">
        <v>-0.32285227714233633</v>
      </c>
    </row>
    <row r="326" spans="1:1" hidden="1" x14ac:dyDescent="0.2">
      <c r="A326" s="104">
        <v>-0.32284441179162249</v>
      </c>
    </row>
    <row r="327" spans="1:1" hidden="1" x14ac:dyDescent="0.2">
      <c r="A327" s="394">
        <v>-0.3224575450375986</v>
      </c>
    </row>
    <row r="328" spans="1:1" hidden="1" x14ac:dyDescent="0.2">
      <c r="A328" s="104">
        <v>-0.31914504121022125</v>
      </c>
    </row>
    <row r="329" spans="1:1" hidden="1" x14ac:dyDescent="0.2">
      <c r="A329" s="394">
        <v>-0.31607774035605862</v>
      </c>
    </row>
    <row r="330" spans="1:1" hidden="1" x14ac:dyDescent="0.2">
      <c r="A330" s="104">
        <v>-0.31554607248831124</v>
      </c>
    </row>
    <row r="331" spans="1:1" hidden="1" x14ac:dyDescent="0.2">
      <c r="A331" s="104">
        <v>-0.31463849537778676</v>
      </c>
    </row>
    <row r="332" spans="1:1" hidden="1" x14ac:dyDescent="0.2">
      <c r="A332" s="394">
        <v>-0.31073137762780112</v>
      </c>
    </row>
    <row r="333" spans="1:1" hidden="1" x14ac:dyDescent="0.2">
      <c r="A333" s="394">
        <v>-0.30691256779218667</v>
      </c>
    </row>
    <row r="334" spans="1:1" hidden="1" x14ac:dyDescent="0.2">
      <c r="A334" s="394">
        <v>-0.30615596766920339</v>
      </c>
    </row>
    <row r="335" spans="1:1" hidden="1" x14ac:dyDescent="0.2">
      <c r="A335" s="104">
        <v>-0.30098906460121944</v>
      </c>
    </row>
    <row r="336" spans="1:1" hidden="1" x14ac:dyDescent="0.2">
      <c r="A336" s="394">
        <v>-0.29754082308561314</v>
      </c>
    </row>
    <row r="337" spans="1:1" hidden="1" x14ac:dyDescent="0.2">
      <c r="A337" s="394">
        <v>-0.29588313108212594</v>
      </c>
    </row>
    <row r="338" spans="1:1" hidden="1" x14ac:dyDescent="0.2">
      <c r="A338" s="104">
        <v>-0.29116696351209148</v>
      </c>
    </row>
    <row r="339" spans="1:1" hidden="1" x14ac:dyDescent="0.2">
      <c r="A339" s="104">
        <v>-0.29105100378619886</v>
      </c>
    </row>
    <row r="340" spans="1:1" hidden="1" x14ac:dyDescent="0.2">
      <c r="A340" s="394">
        <v>-0.28972053780803142</v>
      </c>
    </row>
    <row r="341" spans="1:1" hidden="1" x14ac:dyDescent="0.2">
      <c r="A341" s="394">
        <v>-0.28506732818808223</v>
      </c>
    </row>
    <row r="342" spans="1:1" hidden="1" x14ac:dyDescent="0.2">
      <c r="A342" s="104">
        <v>-0.28265494448142681</v>
      </c>
    </row>
    <row r="343" spans="1:1" hidden="1" x14ac:dyDescent="0.2">
      <c r="A343" s="104">
        <v>-0.2825438897802619</v>
      </c>
    </row>
    <row r="344" spans="1:1" hidden="1" x14ac:dyDescent="0.2">
      <c r="A344" s="394">
        <v>-0.28007588222492918</v>
      </c>
    </row>
    <row r="345" spans="1:1" hidden="1" x14ac:dyDescent="0.2">
      <c r="A345" s="394">
        <v>-0.27982689221088597</v>
      </c>
    </row>
    <row r="346" spans="1:1" hidden="1" x14ac:dyDescent="0.2">
      <c r="A346" s="104">
        <v>-0.27948960886481933</v>
      </c>
    </row>
    <row r="347" spans="1:1" hidden="1" x14ac:dyDescent="0.2">
      <c r="A347" s="104">
        <v>-0.27880287260734127</v>
      </c>
    </row>
    <row r="348" spans="1:1" hidden="1" x14ac:dyDescent="0.2">
      <c r="A348" s="104">
        <v>-0.27843685268476426</v>
      </c>
    </row>
    <row r="349" spans="1:1" hidden="1" x14ac:dyDescent="0.2">
      <c r="A349" s="394">
        <v>-0.2765549069000115</v>
      </c>
    </row>
    <row r="350" spans="1:1" hidden="1" x14ac:dyDescent="0.2">
      <c r="A350" s="394">
        <v>-0.26925392414141092</v>
      </c>
    </row>
    <row r="351" spans="1:1" hidden="1" x14ac:dyDescent="0.2">
      <c r="A351" s="394">
        <v>-0.26675100956954401</v>
      </c>
    </row>
    <row r="352" spans="1:1" hidden="1" x14ac:dyDescent="0.2">
      <c r="A352" s="394">
        <v>-0.26541467770414107</v>
      </c>
    </row>
    <row r="353" spans="1:1" hidden="1" x14ac:dyDescent="0.2">
      <c r="A353" s="394">
        <v>-0.26428582841795878</v>
      </c>
    </row>
    <row r="354" spans="1:1" hidden="1" x14ac:dyDescent="0.2">
      <c r="A354" s="394">
        <v>-0.26376405040218165</v>
      </c>
    </row>
    <row r="355" spans="1:1" hidden="1" x14ac:dyDescent="0.2">
      <c r="A355" s="144">
        <v>-0.25881148993875547</v>
      </c>
    </row>
    <row r="356" spans="1:1" hidden="1" x14ac:dyDescent="0.2">
      <c r="A356" s="394">
        <v>-0.25727699747880228</v>
      </c>
    </row>
    <row r="357" spans="1:1" hidden="1" x14ac:dyDescent="0.2">
      <c r="A357" s="104">
        <v>-0.2538839903553316</v>
      </c>
    </row>
    <row r="358" spans="1:1" hidden="1" x14ac:dyDescent="0.2">
      <c r="A358" s="104">
        <v>-0.25239220314710087</v>
      </c>
    </row>
    <row r="359" spans="1:1" hidden="1" x14ac:dyDescent="0.2">
      <c r="A359" s="394">
        <v>-0.25031198087389361</v>
      </c>
    </row>
    <row r="360" spans="1:1" hidden="1" x14ac:dyDescent="0.2">
      <c r="A360" s="104">
        <v>-0.24961443746170311</v>
      </c>
    </row>
    <row r="361" spans="1:1" hidden="1" x14ac:dyDescent="0.2">
      <c r="A361" s="104">
        <v>-0.24932630008191614</v>
      </c>
    </row>
    <row r="362" spans="1:1" hidden="1" x14ac:dyDescent="0.2">
      <c r="A362" s="104">
        <v>-0.24871126334455829</v>
      </c>
    </row>
    <row r="363" spans="1:1" hidden="1" x14ac:dyDescent="0.2">
      <c r="A363" s="394">
        <v>-0.24768202080731205</v>
      </c>
    </row>
    <row r="364" spans="1:1" hidden="1" x14ac:dyDescent="0.2">
      <c r="A364" s="394">
        <v>-0.247368652599254</v>
      </c>
    </row>
    <row r="365" spans="1:1" hidden="1" x14ac:dyDescent="0.2">
      <c r="A365" s="394">
        <v>-0.24706089844633672</v>
      </c>
    </row>
    <row r="366" spans="1:1" hidden="1" x14ac:dyDescent="0.2">
      <c r="A366" s="104">
        <v>-0.23273595455134588</v>
      </c>
    </row>
    <row r="367" spans="1:1" hidden="1" x14ac:dyDescent="0.2">
      <c r="A367" s="104">
        <v>-0.22952715673519597</v>
      </c>
    </row>
    <row r="368" spans="1:1" hidden="1" x14ac:dyDescent="0.2">
      <c r="A368" s="394">
        <v>-0.22638536401072207</v>
      </c>
    </row>
    <row r="369" spans="1:1" hidden="1" x14ac:dyDescent="0.2">
      <c r="A369" s="394">
        <v>-0.22414191121840468</v>
      </c>
    </row>
    <row r="370" spans="1:1" hidden="1" x14ac:dyDescent="0.2">
      <c r="A370" s="104">
        <v>-0.22098546353709159</v>
      </c>
    </row>
    <row r="371" spans="1:1" hidden="1" x14ac:dyDescent="0.2">
      <c r="A371" s="104">
        <v>-0.22038999066855913</v>
      </c>
    </row>
    <row r="372" spans="1:1" hidden="1" x14ac:dyDescent="0.2">
      <c r="A372" s="394">
        <v>-0.21669117880698385</v>
      </c>
    </row>
    <row r="373" spans="1:1" hidden="1" x14ac:dyDescent="0.2">
      <c r="A373" s="280">
        <v>-0.21345970531401681</v>
      </c>
    </row>
    <row r="374" spans="1:1" hidden="1" x14ac:dyDescent="0.2">
      <c r="A374" s="394">
        <v>-0.21178082658503561</v>
      </c>
    </row>
    <row r="375" spans="1:1" hidden="1" x14ac:dyDescent="0.2">
      <c r="A375" s="104">
        <v>-0.21153635613588542</v>
      </c>
    </row>
    <row r="376" spans="1:1" hidden="1" x14ac:dyDescent="0.2">
      <c r="A376" s="394">
        <v>-0.20559097778774449</v>
      </c>
    </row>
    <row r="377" spans="1:1" hidden="1" x14ac:dyDescent="0.2">
      <c r="A377" s="394">
        <v>-0.20491815491151533</v>
      </c>
    </row>
    <row r="378" spans="1:1" hidden="1" x14ac:dyDescent="0.2">
      <c r="A378" s="394">
        <v>-0.19089177452761197</v>
      </c>
    </row>
    <row r="379" spans="1:1" hidden="1" x14ac:dyDescent="0.2">
      <c r="A379" s="394">
        <v>-0.18400092779108013</v>
      </c>
    </row>
    <row r="380" spans="1:1" hidden="1" x14ac:dyDescent="0.2">
      <c r="A380" s="394">
        <v>-0.1834970661012405</v>
      </c>
    </row>
    <row r="381" spans="1:1" hidden="1" x14ac:dyDescent="0.2">
      <c r="A381" s="104">
        <v>-0.18339052315459758</v>
      </c>
    </row>
    <row r="382" spans="1:1" hidden="1" x14ac:dyDescent="0.2">
      <c r="A382" s="104">
        <v>-0.18259174076938356</v>
      </c>
    </row>
    <row r="383" spans="1:1" hidden="1" x14ac:dyDescent="0.2">
      <c r="A383" s="394">
        <v>-0.18019239413039179</v>
      </c>
    </row>
    <row r="384" spans="1:1" hidden="1" x14ac:dyDescent="0.2">
      <c r="A384" s="104">
        <v>-0.17920623381321965</v>
      </c>
    </row>
    <row r="385" spans="1:1" hidden="1" x14ac:dyDescent="0.2">
      <c r="A385" s="394">
        <v>-0.17863544176139848</v>
      </c>
    </row>
    <row r="386" spans="1:1" hidden="1" x14ac:dyDescent="0.2">
      <c r="A386" s="394">
        <v>-0.17798107761434201</v>
      </c>
    </row>
    <row r="387" spans="1:1" hidden="1" x14ac:dyDescent="0.2">
      <c r="A387" s="394">
        <v>-0.1777141069693875</v>
      </c>
    </row>
    <row r="388" spans="1:1" hidden="1" x14ac:dyDescent="0.2">
      <c r="A388" s="394">
        <v>-0.1727998779821234</v>
      </c>
    </row>
    <row r="389" spans="1:1" hidden="1" x14ac:dyDescent="0.2">
      <c r="A389" s="394">
        <v>-0.16998557981856299</v>
      </c>
    </row>
    <row r="390" spans="1:1" hidden="1" x14ac:dyDescent="0.2">
      <c r="A390" s="394">
        <v>-0.16890907032425551</v>
      </c>
    </row>
    <row r="391" spans="1:1" hidden="1" x14ac:dyDescent="0.2">
      <c r="A391" s="144">
        <v>-0.16511842102839361</v>
      </c>
    </row>
    <row r="392" spans="1:1" hidden="1" x14ac:dyDescent="0.2">
      <c r="A392" s="104">
        <v>-0.15583198353483274</v>
      </c>
    </row>
    <row r="393" spans="1:1" hidden="1" x14ac:dyDescent="0.2">
      <c r="A393" s="394">
        <v>-0.15243697520052413</v>
      </c>
    </row>
    <row r="394" spans="1:1" hidden="1" x14ac:dyDescent="0.2">
      <c r="A394" s="144">
        <v>-0.15221859908640092</v>
      </c>
    </row>
    <row r="395" spans="1:1" hidden="1" x14ac:dyDescent="0.2">
      <c r="A395" s="394">
        <v>-0.1505668992211269</v>
      </c>
    </row>
    <row r="396" spans="1:1" hidden="1" x14ac:dyDescent="0.2">
      <c r="A396" s="104">
        <v>-0.14969956831519363</v>
      </c>
    </row>
    <row r="397" spans="1:1" hidden="1" x14ac:dyDescent="0.2">
      <c r="A397" s="104">
        <v>-0.14962954470397127</v>
      </c>
    </row>
    <row r="398" spans="1:1" hidden="1" x14ac:dyDescent="0.2">
      <c r="A398" s="144">
        <v>-0.14816090264384621</v>
      </c>
    </row>
    <row r="399" spans="1:1" hidden="1" x14ac:dyDescent="0.2">
      <c r="A399" s="104">
        <v>-0.14673856647470052</v>
      </c>
    </row>
    <row r="400" spans="1:1" hidden="1" x14ac:dyDescent="0.2">
      <c r="A400" s="104">
        <v>-0.14591330914247314</v>
      </c>
    </row>
    <row r="401" spans="1:1" hidden="1" x14ac:dyDescent="0.2">
      <c r="A401" s="394">
        <v>-0.14539723029614526</v>
      </c>
    </row>
    <row r="402" spans="1:1" hidden="1" x14ac:dyDescent="0.2">
      <c r="A402" s="394">
        <v>-0.14353050742673323</v>
      </c>
    </row>
    <row r="403" spans="1:1" hidden="1" x14ac:dyDescent="0.2">
      <c r="A403" s="104">
        <v>-0.14347827261968996</v>
      </c>
    </row>
    <row r="404" spans="1:1" hidden="1" x14ac:dyDescent="0.2">
      <c r="A404" s="131">
        <v>-0.14025498025722305</v>
      </c>
    </row>
    <row r="405" spans="1:1" hidden="1" x14ac:dyDescent="0.2">
      <c r="A405" s="104">
        <v>-0.14015952907358331</v>
      </c>
    </row>
    <row r="406" spans="1:1" hidden="1" x14ac:dyDescent="0.2">
      <c r="A406" s="394">
        <v>-0.13787776731261081</v>
      </c>
    </row>
    <row r="407" spans="1:1" hidden="1" x14ac:dyDescent="0.2">
      <c r="A407" s="394">
        <v>-0.13008574383732488</v>
      </c>
    </row>
    <row r="408" spans="1:1" hidden="1" x14ac:dyDescent="0.2">
      <c r="A408" s="394">
        <v>-0.12691126831135469</v>
      </c>
    </row>
    <row r="409" spans="1:1" hidden="1" x14ac:dyDescent="0.2">
      <c r="A409" s="104">
        <v>-0.12487252262486725</v>
      </c>
    </row>
    <row r="410" spans="1:1" hidden="1" x14ac:dyDescent="0.2">
      <c r="A410" s="394">
        <v>-0.12273708777555248</v>
      </c>
    </row>
    <row r="411" spans="1:1" hidden="1" x14ac:dyDescent="0.2">
      <c r="A411" s="394">
        <v>-0.12156362753070971</v>
      </c>
    </row>
    <row r="412" spans="1:1" hidden="1" x14ac:dyDescent="0.2">
      <c r="A412" s="394">
        <v>-0.12114971882462333</v>
      </c>
    </row>
    <row r="413" spans="1:1" hidden="1" x14ac:dyDescent="0.2">
      <c r="A413" s="394">
        <v>-0.1210490675641025</v>
      </c>
    </row>
    <row r="414" spans="1:1" hidden="1" x14ac:dyDescent="0.2">
      <c r="A414" s="104">
        <v>-0.11914110442179071</v>
      </c>
    </row>
    <row r="415" spans="1:1" hidden="1" x14ac:dyDescent="0.2">
      <c r="A415" s="394">
        <v>-0.11830396273532662</v>
      </c>
    </row>
    <row r="416" spans="1:1" hidden="1" x14ac:dyDescent="0.2">
      <c r="A416" s="104">
        <v>-0.11533109717696768</v>
      </c>
    </row>
    <row r="417" spans="1:1" hidden="1" x14ac:dyDescent="0.2">
      <c r="A417" s="394">
        <v>-0.11516362364048538</v>
      </c>
    </row>
    <row r="418" spans="1:1" hidden="1" x14ac:dyDescent="0.2">
      <c r="A418" s="144">
        <v>-0.11477214449720696</v>
      </c>
    </row>
    <row r="419" spans="1:1" hidden="1" x14ac:dyDescent="0.2">
      <c r="A419" s="394">
        <v>-0.11345324060396811</v>
      </c>
    </row>
    <row r="420" spans="1:1" hidden="1" x14ac:dyDescent="0.2">
      <c r="A420" s="104">
        <v>-0.11264224929710798</v>
      </c>
    </row>
    <row r="421" spans="1:1" hidden="1" x14ac:dyDescent="0.2">
      <c r="A421" s="104">
        <v>-0.11252920327642135</v>
      </c>
    </row>
    <row r="422" spans="1:1" hidden="1" x14ac:dyDescent="0.2">
      <c r="A422" s="394">
        <v>-0.10667200746148489</v>
      </c>
    </row>
    <row r="423" spans="1:1" hidden="1" x14ac:dyDescent="0.2">
      <c r="A423" s="104">
        <v>-0.10626530468584638</v>
      </c>
    </row>
    <row r="424" spans="1:1" hidden="1" x14ac:dyDescent="0.2">
      <c r="A424" s="394">
        <v>-0.10610840149060285</v>
      </c>
    </row>
    <row r="425" spans="1:1" hidden="1" x14ac:dyDescent="0.2">
      <c r="A425" s="394">
        <v>-0.10403288215475603</v>
      </c>
    </row>
    <row r="426" spans="1:1" hidden="1" x14ac:dyDescent="0.2">
      <c r="A426" s="144">
        <v>-9.9631977818693596E-2</v>
      </c>
    </row>
    <row r="427" spans="1:1" hidden="1" x14ac:dyDescent="0.2">
      <c r="A427" s="104">
        <v>-9.8211503284866719E-2</v>
      </c>
    </row>
    <row r="428" spans="1:1" hidden="1" x14ac:dyDescent="0.2">
      <c r="A428" s="394">
        <v>-9.6706196382194687E-2</v>
      </c>
    </row>
    <row r="429" spans="1:1" hidden="1" x14ac:dyDescent="0.2">
      <c r="A429" s="394">
        <v>-9.4862366547006527E-2</v>
      </c>
    </row>
    <row r="430" spans="1:1" hidden="1" x14ac:dyDescent="0.2">
      <c r="A430" s="104">
        <v>-9.2223949006645878E-2</v>
      </c>
    </row>
    <row r="431" spans="1:1" hidden="1" x14ac:dyDescent="0.2">
      <c r="A431" s="104">
        <v>-9.1170024274175088E-2</v>
      </c>
    </row>
    <row r="432" spans="1:1" hidden="1" x14ac:dyDescent="0.2">
      <c r="A432" s="394">
        <v>-9.005896732570795E-2</v>
      </c>
    </row>
    <row r="433" spans="1:1" hidden="1" x14ac:dyDescent="0.2">
      <c r="A433" s="394">
        <v>-8.9613988174702452E-2</v>
      </c>
    </row>
    <row r="434" spans="1:1" hidden="1" x14ac:dyDescent="0.2">
      <c r="A434" s="137">
        <v>-8.8219469218790092E-2</v>
      </c>
    </row>
    <row r="435" spans="1:1" hidden="1" x14ac:dyDescent="0.2">
      <c r="A435" s="394">
        <v>-8.6805105442907315E-2</v>
      </c>
    </row>
    <row r="436" spans="1:1" hidden="1" x14ac:dyDescent="0.2">
      <c r="A436" s="394">
        <v>-8.5497329035513214E-2</v>
      </c>
    </row>
    <row r="437" spans="1:1" hidden="1" x14ac:dyDescent="0.2">
      <c r="A437" s="394">
        <v>-8.5065804603070116E-2</v>
      </c>
    </row>
    <row r="438" spans="1:1" hidden="1" x14ac:dyDescent="0.2">
      <c r="A438" s="394">
        <v>-8.463037605787127E-2</v>
      </c>
    </row>
    <row r="439" spans="1:1" hidden="1" x14ac:dyDescent="0.2">
      <c r="A439" s="394">
        <v>-8.3915126282396724E-2</v>
      </c>
    </row>
    <row r="440" spans="1:1" hidden="1" x14ac:dyDescent="0.2">
      <c r="A440" s="393">
        <v>-8.2686193562993449E-2</v>
      </c>
    </row>
    <row r="441" spans="1:1" hidden="1" x14ac:dyDescent="0.2">
      <c r="A441" s="104">
        <v>-8.0945513469612873E-2</v>
      </c>
    </row>
    <row r="442" spans="1:1" hidden="1" x14ac:dyDescent="0.2">
      <c r="A442" s="104">
        <v>-7.9575827336435534E-2</v>
      </c>
    </row>
    <row r="443" spans="1:1" hidden="1" x14ac:dyDescent="0.2">
      <c r="A443" s="104">
        <v>-7.8274261051146876E-2</v>
      </c>
    </row>
    <row r="444" spans="1:1" hidden="1" x14ac:dyDescent="0.2">
      <c r="A444" s="104">
        <v>-7.7689783011277935E-2</v>
      </c>
    </row>
    <row r="445" spans="1:1" hidden="1" x14ac:dyDescent="0.2">
      <c r="A445" s="104">
        <v>-7.7582816681759592E-2</v>
      </c>
    </row>
    <row r="446" spans="1:1" hidden="1" x14ac:dyDescent="0.2">
      <c r="A446" s="394">
        <v>-7.7058157171440822E-2</v>
      </c>
    </row>
    <row r="447" spans="1:1" hidden="1" x14ac:dyDescent="0.2">
      <c r="A447" s="394">
        <v>-7.5403341062800333E-2</v>
      </c>
    </row>
    <row r="448" spans="1:1" hidden="1" x14ac:dyDescent="0.2">
      <c r="A448" s="104">
        <v>-7.5369070323693332E-2</v>
      </c>
    </row>
    <row r="449" spans="1:1" hidden="1" x14ac:dyDescent="0.2">
      <c r="A449" s="104">
        <v>-7.4597825579386462E-2</v>
      </c>
    </row>
    <row r="450" spans="1:1" hidden="1" x14ac:dyDescent="0.2">
      <c r="A450" s="104">
        <v>-7.432107814669342E-2</v>
      </c>
    </row>
    <row r="451" spans="1:1" hidden="1" x14ac:dyDescent="0.2">
      <c r="A451" s="104">
        <v>-7.3488199100507412E-2</v>
      </c>
    </row>
    <row r="452" spans="1:1" hidden="1" x14ac:dyDescent="0.2">
      <c r="A452" s="394">
        <v>-6.8810032322951908E-2</v>
      </c>
    </row>
    <row r="453" spans="1:1" hidden="1" x14ac:dyDescent="0.2">
      <c r="A453" s="104">
        <v>-6.1102719647736503E-2</v>
      </c>
    </row>
    <row r="454" spans="1:1" hidden="1" x14ac:dyDescent="0.2">
      <c r="A454" s="394">
        <v>-5.8604638413283477E-2</v>
      </c>
    </row>
    <row r="455" spans="1:1" hidden="1" x14ac:dyDescent="0.2">
      <c r="A455" s="394">
        <v>-5.8593138306258563E-2</v>
      </c>
    </row>
    <row r="456" spans="1:1" hidden="1" x14ac:dyDescent="0.2">
      <c r="A456" s="104">
        <v>-5.8088696046092902E-2</v>
      </c>
    </row>
    <row r="457" spans="1:1" hidden="1" x14ac:dyDescent="0.2">
      <c r="A457" s="394">
        <v>-5.3701389026959784E-2</v>
      </c>
    </row>
    <row r="458" spans="1:1" hidden="1" x14ac:dyDescent="0.2">
      <c r="A458" s="394">
        <v>-4.6394118251507077E-2</v>
      </c>
    </row>
    <row r="459" spans="1:1" hidden="1" x14ac:dyDescent="0.2">
      <c r="A459" s="144">
        <v>-4.526626442597026E-2</v>
      </c>
    </row>
    <row r="460" spans="1:1" hidden="1" x14ac:dyDescent="0.2">
      <c r="A460" s="394">
        <v>-4.2270848101290337E-2</v>
      </c>
    </row>
    <row r="461" spans="1:1" hidden="1" x14ac:dyDescent="0.2">
      <c r="A461" s="394">
        <v>-4.1589565414303475E-2</v>
      </c>
    </row>
    <row r="462" spans="1:1" hidden="1" x14ac:dyDescent="0.2">
      <c r="A462" s="104">
        <v>-3.929634298670015E-2</v>
      </c>
    </row>
    <row r="463" spans="1:1" hidden="1" x14ac:dyDescent="0.2">
      <c r="A463" s="104">
        <v>-3.9099348140675172E-2</v>
      </c>
    </row>
    <row r="464" spans="1:1" hidden="1" x14ac:dyDescent="0.2">
      <c r="A464" s="104">
        <v>-3.6843008669511956E-2</v>
      </c>
    </row>
    <row r="465" spans="1:1" hidden="1" x14ac:dyDescent="0.2">
      <c r="A465" s="104">
        <v>-3.4983314525754761E-2</v>
      </c>
    </row>
    <row r="466" spans="1:1" hidden="1" x14ac:dyDescent="0.2">
      <c r="A466" s="104">
        <v>-3.3590520625325748E-2</v>
      </c>
    </row>
    <row r="467" spans="1:1" hidden="1" x14ac:dyDescent="0.2">
      <c r="A467" s="394">
        <v>-3.3130479002492219E-2</v>
      </c>
    </row>
    <row r="468" spans="1:1" hidden="1" x14ac:dyDescent="0.2">
      <c r="A468" s="394">
        <v>-3.2645779782933371E-2</v>
      </c>
    </row>
    <row r="469" spans="1:1" hidden="1" x14ac:dyDescent="0.2">
      <c r="A469" s="104">
        <v>-3.1861741166478108E-2</v>
      </c>
    </row>
    <row r="470" spans="1:1" hidden="1" x14ac:dyDescent="0.2">
      <c r="A470" s="394">
        <v>-2.858365399233298E-2</v>
      </c>
    </row>
    <row r="471" spans="1:1" hidden="1" x14ac:dyDescent="0.2">
      <c r="A471" s="394">
        <v>-2.7846150121104696E-2</v>
      </c>
    </row>
    <row r="472" spans="1:1" hidden="1" x14ac:dyDescent="0.2">
      <c r="A472" s="394">
        <v>-2.25619176943197E-2</v>
      </c>
    </row>
    <row r="473" spans="1:1" hidden="1" x14ac:dyDescent="0.2">
      <c r="A473" s="104">
        <v>-2.0605107386474142E-2</v>
      </c>
    </row>
    <row r="474" spans="1:1" hidden="1" x14ac:dyDescent="0.2">
      <c r="A474" s="394">
        <v>-1.9866465766964492E-2</v>
      </c>
    </row>
    <row r="475" spans="1:1" hidden="1" x14ac:dyDescent="0.2">
      <c r="A475" s="104">
        <v>-1.8252012037125009E-2</v>
      </c>
    </row>
    <row r="476" spans="1:1" hidden="1" x14ac:dyDescent="0.2">
      <c r="A476" s="144">
        <v>-1.7630118025544927E-2</v>
      </c>
    </row>
    <row r="477" spans="1:1" hidden="1" x14ac:dyDescent="0.2">
      <c r="A477" s="394">
        <v>-1.3880289086139808E-2</v>
      </c>
    </row>
    <row r="478" spans="1:1" hidden="1" x14ac:dyDescent="0.2">
      <c r="A478" s="394">
        <v>-1.3283090840681577E-2</v>
      </c>
    </row>
    <row r="479" spans="1:1" hidden="1" x14ac:dyDescent="0.2">
      <c r="A479" s="394">
        <v>-1.2767966590428781E-2</v>
      </c>
    </row>
    <row r="480" spans="1:1" hidden="1" x14ac:dyDescent="0.2">
      <c r="A480" s="394">
        <v>-1.1434812817396445E-2</v>
      </c>
    </row>
    <row r="481" spans="1:1" hidden="1" x14ac:dyDescent="0.2">
      <c r="A481" s="394">
        <v>-1.0173530061647451E-2</v>
      </c>
    </row>
    <row r="482" spans="1:1" hidden="1" x14ac:dyDescent="0.2">
      <c r="A482" s="394">
        <v>-7.4371117393758901E-3</v>
      </c>
    </row>
    <row r="483" spans="1:1" hidden="1" x14ac:dyDescent="0.2">
      <c r="A483" s="394">
        <v>-6.2864930916943784E-3</v>
      </c>
    </row>
    <row r="484" spans="1:1" hidden="1" x14ac:dyDescent="0.2">
      <c r="A484" s="394">
        <v>-6.0210450359874379E-3</v>
      </c>
    </row>
    <row r="485" spans="1:1" hidden="1" x14ac:dyDescent="0.2">
      <c r="A485" s="394">
        <v>-3.1538621425979407E-3</v>
      </c>
    </row>
    <row r="486" spans="1:1" hidden="1" x14ac:dyDescent="0.2">
      <c r="A486" s="394">
        <v>-4.7677033950810355E-4</v>
      </c>
    </row>
    <row r="487" spans="1:1" hidden="1" x14ac:dyDescent="0.2">
      <c r="A487" s="104">
        <v>8.1303214915215416E-4</v>
      </c>
    </row>
    <row r="488" spans="1:1" hidden="1" x14ac:dyDescent="0.2">
      <c r="A488" s="104">
        <v>4.8235802756715351E-3</v>
      </c>
    </row>
    <row r="489" spans="1:1" hidden="1" x14ac:dyDescent="0.2">
      <c r="A489" s="394">
        <v>5.7046448201547306E-3</v>
      </c>
    </row>
    <row r="490" spans="1:1" hidden="1" x14ac:dyDescent="0.2">
      <c r="A490" s="104">
        <v>6.3088025847819473E-3</v>
      </c>
    </row>
    <row r="491" spans="1:1" hidden="1" x14ac:dyDescent="0.2">
      <c r="A491" s="104">
        <v>6.9461527211474028E-3</v>
      </c>
    </row>
    <row r="492" spans="1:1" hidden="1" x14ac:dyDescent="0.2">
      <c r="A492" s="104">
        <v>6.9792760134128606E-3</v>
      </c>
    </row>
    <row r="493" spans="1:1" hidden="1" x14ac:dyDescent="0.2">
      <c r="A493" s="104">
        <v>7.307400308777634E-3</v>
      </c>
    </row>
    <row r="494" spans="1:1" hidden="1" x14ac:dyDescent="0.2">
      <c r="A494" s="104">
        <v>1.1539336044203541E-2</v>
      </c>
    </row>
    <row r="495" spans="1:1" hidden="1" x14ac:dyDescent="0.2">
      <c r="A495" s="394">
        <v>1.1798448762663644E-2</v>
      </c>
    </row>
    <row r="496" spans="1:1" hidden="1" x14ac:dyDescent="0.2">
      <c r="A496" s="394">
        <v>1.4405057439978552E-2</v>
      </c>
    </row>
    <row r="497" spans="1:1" hidden="1" x14ac:dyDescent="0.2">
      <c r="A497" s="394">
        <v>1.55499136736581E-2</v>
      </c>
    </row>
    <row r="498" spans="1:1" hidden="1" x14ac:dyDescent="0.2">
      <c r="A498" s="394">
        <v>1.7696688677857314E-2</v>
      </c>
    </row>
    <row r="499" spans="1:1" hidden="1" x14ac:dyDescent="0.2">
      <c r="A499" s="104">
        <v>2.6490271297403528E-2</v>
      </c>
    </row>
    <row r="500" spans="1:1" hidden="1" x14ac:dyDescent="0.2">
      <c r="A500" s="394">
        <v>2.8262187332848132E-2</v>
      </c>
    </row>
    <row r="501" spans="1:1" hidden="1" x14ac:dyDescent="0.2">
      <c r="A501" s="394">
        <v>2.959236958070699E-2</v>
      </c>
    </row>
    <row r="502" spans="1:1" hidden="1" x14ac:dyDescent="0.2">
      <c r="A502" s="394">
        <v>3.1747877244504341E-2</v>
      </c>
    </row>
    <row r="503" spans="1:1" hidden="1" x14ac:dyDescent="0.2">
      <c r="A503" s="104">
        <v>3.2155538849144905E-2</v>
      </c>
    </row>
    <row r="504" spans="1:1" hidden="1" x14ac:dyDescent="0.2">
      <c r="A504" s="104">
        <v>3.4440641173246522E-2</v>
      </c>
    </row>
    <row r="505" spans="1:1" hidden="1" x14ac:dyDescent="0.2">
      <c r="A505" s="104">
        <v>3.445802620767191E-2</v>
      </c>
    </row>
    <row r="506" spans="1:1" hidden="1" x14ac:dyDescent="0.2">
      <c r="A506" s="394">
        <v>3.474945764047499E-2</v>
      </c>
    </row>
    <row r="507" spans="1:1" hidden="1" x14ac:dyDescent="0.2">
      <c r="A507" s="394">
        <v>3.5356890672764596E-2</v>
      </c>
    </row>
    <row r="508" spans="1:1" hidden="1" x14ac:dyDescent="0.2">
      <c r="A508" s="104">
        <v>3.6277341781071532E-2</v>
      </c>
    </row>
    <row r="509" spans="1:1" hidden="1" x14ac:dyDescent="0.2">
      <c r="A509" s="104">
        <v>3.8579640515477881E-2</v>
      </c>
    </row>
    <row r="510" spans="1:1" hidden="1" x14ac:dyDescent="0.2">
      <c r="A510" s="104">
        <v>4.1219510428158745E-2</v>
      </c>
    </row>
    <row r="511" spans="1:1" hidden="1" x14ac:dyDescent="0.2">
      <c r="A511" s="394">
        <v>4.3645363739204218E-2</v>
      </c>
    </row>
    <row r="512" spans="1:1" hidden="1" x14ac:dyDescent="0.2">
      <c r="A512" s="104">
        <v>4.3810863906168951E-2</v>
      </c>
    </row>
    <row r="513" spans="1:1" hidden="1" x14ac:dyDescent="0.2">
      <c r="A513" s="104">
        <v>4.4752488122432571E-2</v>
      </c>
    </row>
    <row r="514" spans="1:1" hidden="1" x14ac:dyDescent="0.2">
      <c r="A514" s="104">
        <v>4.6143054059131633E-2</v>
      </c>
    </row>
    <row r="515" spans="1:1" hidden="1" x14ac:dyDescent="0.2">
      <c r="A515" s="104">
        <v>4.8980094579873512E-2</v>
      </c>
    </row>
    <row r="516" spans="1:1" hidden="1" x14ac:dyDescent="0.2">
      <c r="A516" s="104">
        <v>5.0333800176089544E-2</v>
      </c>
    </row>
    <row r="517" spans="1:1" hidden="1" x14ac:dyDescent="0.2">
      <c r="A517" s="144">
        <v>5.2708166973636228E-2</v>
      </c>
    </row>
    <row r="518" spans="1:1" hidden="1" x14ac:dyDescent="0.2">
      <c r="A518" s="394">
        <v>5.3259671796558966E-2</v>
      </c>
    </row>
    <row r="519" spans="1:1" hidden="1" x14ac:dyDescent="0.2">
      <c r="A519" s="104">
        <v>5.819971564063886E-2</v>
      </c>
    </row>
    <row r="520" spans="1:1" hidden="1" x14ac:dyDescent="0.2">
      <c r="A520" s="394">
        <v>6.2692091000416728E-2</v>
      </c>
    </row>
    <row r="521" spans="1:1" hidden="1" x14ac:dyDescent="0.2">
      <c r="A521" s="394">
        <v>6.4308860762113146E-2</v>
      </c>
    </row>
    <row r="522" spans="1:1" hidden="1" x14ac:dyDescent="0.2">
      <c r="A522" s="394">
        <v>6.4612094013915627E-2</v>
      </c>
    </row>
    <row r="523" spans="1:1" hidden="1" x14ac:dyDescent="0.2">
      <c r="A523" s="104">
        <v>6.4787428578375827E-2</v>
      </c>
    </row>
    <row r="524" spans="1:1" hidden="1" x14ac:dyDescent="0.2">
      <c r="A524" s="104">
        <v>6.5358713774513494E-2</v>
      </c>
    </row>
    <row r="525" spans="1:1" hidden="1" x14ac:dyDescent="0.2">
      <c r="A525" s="394">
        <v>6.6437538594114276E-2</v>
      </c>
    </row>
    <row r="526" spans="1:1" hidden="1" x14ac:dyDescent="0.2">
      <c r="A526" s="394">
        <v>7.3171225073560553E-2</v>
      </c>
    </row>
    <row r="527" spans="1:1" hidden="1" x14ac:dyDescent="0.2">
      <c r="A527" s="104">
        <v>7.8923390927047254E-2</v>
      </c>
    </row>
    <row r="528" spans="1:1" hidden="1" x14ac:dyDescent="0.2">
      <c r="A528" s="394">
        <v>8.0716375415866598E-2</v>
      </c>
    </row>
    <row r="529" spans="1:1" hidden="1" x14ac:dyDescent="0.2">
      <c r="A529" s="144">
        <v>8.7251990677343461E-2</v>
      </c>
    </row>
    <row r="530" spans="1:1" hidden="1" x14ac:dyDescent="0.2">
      <c r="A530" s="394">
        <v>8.7395187128875368E-2</v>
      </c>
    </row>
    <row r="531" spans="1:1" hidden="1" x14ac:dyDescent="0.2">
      <c r="A531" s="104">
        <v>8.9105037112199942E-2</v>
      </c>
    </row>
    <row r="532" spans="1:1" hidden="1" x14ac:dyDescent="0.2">
      <c r="A532" s="394">
        <v>8.911058720570475E-2</v>
      </c>
    </row>
    <row r="533" spans="1:1" hidden="1" x14ac:dyDescent="0.2">
      <c r="A533" s="394">
        <v>9.0311783071597151E-2</v>
      </c>
    </row>
    <row r="534" spans="1:1" hidden="1" x14ac:dyDescent="0.2">
      <c r="A534" s="394">
        <v>9.1531721828970153E-2</v>
      </c>
    </row>
    <row r="535" spans="1:1" hidden="1" x14ac:dyDescent="0.2">
      <c r="A535" s="104">
        <v>9.3167495712448645E-2</v>
      </c>
    </row>
    <row r="536" spans="1:1" hidden="1" x14ac:dyDescent="0.2">
      <c r="A536" s="394">
        <v>9.3549131270757702E-2</v>
      </c>
    </row>
    <row r="537" spans="1:1" hidden="1" x14ac:dyDescent="0.2">
      <c r="A537" s="394">
        <v>0.10112396256683673</v>
      </c>
    </row>
    <row r="538" spans="1:1" hidden="1" x14ac:dyDescent="0.2">
      <c r="A538" s="394">
        <v>0.1037774637188762</v>
      </c>
    </row>
    <row r="539" spans="1:1" hidden="1" x14ac:dyDescent="0.2">
      <c r="A539" s="394">
        <v>0.10441069197698247</v>
      </c>
    </row>
    <row r="540" spans="1:1" hidden="1" x14ac:dyDescent="0.2">
      <c r="A540" s="144">
        <v>0.10597475622888416</v>
      </c>
    </row>
    <row r="541" spans="1:1" hidden="1" x14ac:dyDescent="0.2">
      <c r="A541" s="104">
        <v>0.10694927052654399</v>
      </c>
    </row>
    <row r="542" spans="1:1" hidden="1" x14ac:dyDescent="0.2">
      <c r="A542" s="104">
        <v>0.10720555803545873</v>
      </c>
    </row>
    <row r="543" spans="1:1" hidden="1" x14ac:dyDescent="0.2">
      <c r="A543" s="104">
        <v>0.11066578136526184</v>
      </c>
    </row>
    <row r="544" spans="1:1" hidden="1" x14ac:dyDescent="0.2">
      <c r="A544" s="394">
        <v>0.11122280929222803</v>
      </c>
    </row>
    <row r="545" spans="1:1" hidden="1" x14ac:dyDescent="0.2">
      <c r="A545" s="104">
        <v>0.11193726754850042</v>
      </c>
    </row>
    <row r="546" spans="1:1" hidden="1" x14ac:dyDescent="0.2">
      <c r="A546" s="394">
        <v>0.11252662606111349</v>
      </c>
    </row>
    <row r="547" spans="1:1" hidden="1" x14ac:dyDescent="0.2">
      <c r="A547" s="394">
        <v>0.11371275562563676</v>
      </c>
    </row>
    <row r="548" spans="1:1" hidden="1" x14ac:dyDescent="0.2">
      <c r="A548" s="394">
        <v>0.11408709631565947</v>
      </c>
    </row>
    <row r="549" spans="1:1" hidden="1" x14ac:dyDescent="0.2">
      <c r="A549" s="394">
        <v>0.1166927265897777</v>
      </c>
    </row>
    <row r="550" spans="1:1" hidden="1" x14ac:dyDescent="0.2">
      <c r="A550" s="104">
        <v>0.11677337620920844</v>
      </c>
    </row>
    <row r="551" spans="1:1" hidden="1" x14ac:dyDescent="0.2">
      <c r="A551" s="394">
        <v>0.11813824018550756</v>
      </c>
    </row>
    <row r="552" spans="1:1" hidden="1" x14ac:dyDescent="0.2">
      <c r="A552" s="104">
        <v>0.1189994309638451</v>
      </c>
    </row>
    <row r="553" spans="1:1" hidden="1" x14ac:dyDescent="0.2">
      <c r="A553" s="394">
        <v>0.119651569455693</v>
      </c>
    </row>
    <row r="554" spans="1:1" hidden="1" x14ac:dyDescent="0.2">
      <c r="A554" s="394">
        <v>0.12415760434544729</v>
      </c>
    </row>
    <row r="555" spans="1:1" hidden="1" x14ac:dyDescent="0.2">
      <c r="A555" s="394">
        <v>0.12556582423559567</v>
      </c>
    </row>
    <row r="556" spans="1:1" hidden="1" x14ac:dyDescent="0.2">
      <c r="A556" s="394">
        <v>0.12581514099037469</v>
      </c>
    </row>
    <row r="557" spans="1:1" hidden="1" x14ac:dyDescent="0.2">
      <c r="A557" s="394">
        <v>0.12585825277035889</v>
      </c>
    </row>
    <row r="558" spans="1:1" hidden="1" x14ac:dyDescent="0.2">
      <c r="A558" s="104">
        <v>0.12586763758525385</v>
      </c>
    </row>
    <row r="559" spans="1:1" hidden="1" x14ac:dyDescent="0.2">
      <c r="A559" s="104">
        <v>0.1281446867103484</v>
      </c>
    </row>
    <row r="560" spans="1:1" hidden="1" x14ac:dyDescent="0.2">
      <c r="A560" s="394">
        <v>0.12848612132616433</v>
      </c>
    </row>
    <row r="561" spans="1:1" hidden="1" x14ac:dyDescent="0.2">
      <c r="A561" s="394">
        <v>0.13280603004472843</v>
      </c>
    </row>
    <row r="562" spans="1:1" hidden="1" x14ac:dyDescent="0.2">
      <c r="A562" s="104">
        <v>0.13311756164088218</v>
      </c>
    </row>
    <row r="563" spans="1:1" hidden="1" x14ac:dyDescent="0.2">
      <c r="A563" s="394">
        <v>0.13363304499819373</v>
      </c>
    </row>
    <row r="564" spans="1:1" hidden="1" x14ac:dyDescent="0.2">
      <c r="A564" s="394">
        <v>0.14046208547671535</v>
      </c>
    </row>
    <row r="565" spans="1:1" hidden="1" x14ac:dyDescent="0.2">
      <c r="A565" s="104">
        <v>0.14134092548466137</v>
      </c>
    </row>
    <row r="566" spans="1:1" hidden="1" x14ac:dyDescent="0.2">
      <c r="A566" s="394">
        <v>0.14619257360826632</v>
      </c>
    </row>
    <row r="567" spans="1:1" hidden="1" x14ac:dyDescent="0.2">
      <c r="A567" s="394">
        <v>0.14684012270618618</v>
      </c>
    </row>
    <row r="568" spans="1:1" hidden="1" x14ac:dyDescent="0.2">
      <c r="A568" s="104">
        <v>0.14870596365870847</v>
      </c>
    </row>
    <row r="569" spans="1:1" hidden="1" x14ac:dyDescent="0.2">
      <c r="A569" s="104">
        <v>0.15375833028752917</v>
      </c>
    </row>
    <row r="570" spans="1:1" hidden="1" x14ac:dyDescent="0.2">
      <c r="A570" s="104">
        <v>0.15437188765542098</v>
      </c>
    </row>
    <row r="571" spans="1:1" hidden="1" x14ac:dyDescent="0.2">
      <c r="A571" s="394">
        <v>0.15693372553649931</v>
      </c>
    </row>
    <row r="572" spans="1:1" hidden="1" x14ac:dyDescent="0.2">
      <c r="A572" s="104">
        <v>0.15795580795008002</v>
      </c>
    </row>
    <row r="573" spans="1:1" hidden="1" x14ac:dyDescent="0.2">
      <c r="A573" s="104">
        <v>0.1644681497351983</v>
      </c>
    </row>
    <row r="574" spans="1:1" hidden="1" x14ac:dyDescent="0.2">
      <c r="A574" s="394">
        <v>0.17083087842068645</v>
      </c>
    </row>
    <row r="575" spans="1:1" hidden="1" x14ac:dyDescent="0.2">
      <c r="A575" s="104">
        <v>0.17195830365537867</v>
      </c>
    </row>
    <row r="576" spans="1:1" hidden="1" x14ac:dyDescent="0.2">
      <c r="A576" s="394">
        <v>0.17214345592152691</v>
      </c>
    </row>
    <row r="577" spans="1:1" hidden="1" x14ac:dyDescent="0.2">
      <c r="A577" s="394">
        <v>0.17335234536683905</v>
      </c>
    </row>
    <row r="578" spans="1:1" hidden="1" x14ac:dyDescent="0.2">
      <c r="A578" s="394">
        <v>0.1741684468105533</v>
      </c>
    </row>
    <row r="579" spans="1:1" hidden="1" x14ac:dyDescent="0.2">
      <c r="A579" s="394">
        <v>0.17451431137989681</v>
      </c>
    </row>
    <row r="580" spans="1:1" hidden="1" x14ac:dyDescent="0.2">
      <c r="A580" s="104">
        <v>0.17547662879727219</v>
      </c>
    </row>
    <row r="581" spans="1:1" hidden="1" x14ac:dyDescent="0.2">
      <c r="A581" s="394">
        <v>0.17594027669091838</v>
      </c>
    </row>
    <row r="582" spans="1:1" hidden="1" x14ac:dyDescent="0.2">
      <c r="A582" s="104">
        <v>0.17762965229669669</v>
      </c>
    </row>
    <row r="583" spans="1:1" hidden="1" x14ac:dyDescent="0.2">
      <c r="A583" s="104">
        <v>0.17934623234652713</v>
      </c>
    </row>
    <row r="584" spans="1:1" hidden="1" x14ac:dyDescent="0.2">
      <c r="A584" s="394">
        <v>0.18039231521874163</v>
      </c>
    </row>
    <row r="585" spans="1:1" hidden="1" x14ac:dyDescent="0.2">
      <c r="A585" s="280">
        <v>0.18049946133548153</v>
      </c>
    </row>
    <row r="586" spans="1:1" hidden="1" x14ac:dyDescent="0.2">
      <c r="A586" s="104">
        <v>0.19058314179964819</v>
      </c>
    </row>
    <row r="587" spans="1:1" hidden="1" x14ac:dyDescent="0.2">
      <c r="A587" s="394">
        <v>0.19226393736765823</v>
      </c>
    </row>
    <row r="588" spans="1:1" hidden="1" x14ac:dyDescent="0.2">
      <c r="A588" s="104">
        <v>0.19302635913575239</v>
      </c>
    </row>
    <row r="589" spans="1:1" hidden="1" x14ac:dyDescent="0.2">
      <c r="A589" s="394">
        <v>0.19377986082688858</v>
      </c>
    </row>
    <row r="590" spans="1:1" hidden="1" x14ac:dyDescent="0.2">
      <c r="A590" s="394">
        <v>0.19631653688848028</v>
      </c>
    </row>
    <row r="591" spans="1:1" hidden="1" x14ac:dyDescent="0.2">
      <c r="A591" s="394">
        <v>0.19895106572748</v>
      </c>
    </row>
    <row r="592" spans="1:1" hidden="1" x14ac:dyDescent="0.2">
      <c r="A592" s="104">
        <v>0.20178123918041502</v>
      </c>
    </row>
    <row r="593" spans="1:1" hidden="1" x14ac:dyDescent="0.2">
      <c r="A593" s="394">
        <v>0.20452449554287577</v>
      </c>
    </row>
    <row r="594" spans="1:1" hidden="1" x14ac:dyDescent="0.2">
      <c r="A594" s="104">
        <v>0.20525107167125123</v>
      </c>
    </row>
    <row r="595" spans="1:1" hidden="1" x14ac:dyDescent="0.2">
      <c r="A595" s="394">
        <v>0.20584671210385116</v>
      </c>
    </row>
    <row r="596" spans="1:1" hidden="1" x14ac:dyDescent="0.2">
      <c r="A596" s="144">
        <v>0.20618416884027235</v>
      </c>
    </row>
    <row r="597" spans="1:1" hidden="1" x14ac:dyDescent="0.2">
      <c r="A597" s="104">
        <v>0.20677697919587468</v>
      </c>
    </row>
    <row r="598" spans="1:1" hidden="1" x14ac:dyDescent="0.2">
      <c r="A598" s="394">
        <v>0.21353047943051218</v>
      </c>
    </row>
    <row r="599" spans="1:1" hidden="1" x14ac:dyDescent="0.2">
      <c r="A599" s="104">
        <v>0.21683075901779469</v>
      </c>
    </row>
    <row r="600" spans="1:1" hidden="1" x14ac:dyDescent="0.2">
      <c r="A600" s="104">
        <v>0.2204785911358926</v>
      </c>
    </row>
    <row r="601" spans="1:1" hidden="1" x14ac:dyDescent="0.2">
      <c r="A601" s="394">
        <v>0.22198382855420681</v>
      </c>
    </row>
    <row r="602" spans="1:1" hidden="1" x14ac:dyDescent="0.2">
      <c r="A602" s="394">
        <v>0.22347627760070177</v>
      </c>
    </row>
    <row r="603" spans="1:1" hidden="1" x14ac:dyDescent="0.2">
      <c r="A603" s="394">
        <v>0.22719391471022596</v>
      </c>
    </row>
    <row r="604" spans="1:1" hidden="1" x14ac:dyDescent="0.2">
      <c r="A604" s="104">
        <v>0.22744635896327958</v>
      </c>
    </row>
    <row r="605" spans="1:1" hidden="1" x14ac:dyDescent="0.2">
      <c r="A605" s="104">
        <v>0.23158724824976895</v>
      </c>
    </row>
    <row r="606" spans="1:1" hidden="1" x14ac:dyDescent="0.2">
      <c r="A606" s="104">
        <v>0.23171821343581067</v>
      </c>
    </row>
    <row r="607" spans="1:1" hidden="1" x14ac:dyDescent="0.2">
      <c r="A607" s="104">
        <v>0.23212269634750848</v>
      </c>
    </row>
    <row r="608" spans="1:1" hidden="1" x14ac:dyDescent="0.2">
      <c r="A608" s="394">
        <v>0.2324927449593468</v>
      </c>
    </row>
    <row r="609" spans="1:1" hidden="1" x14ac:dyDescent="0.2">
      <c r="A609" s="144">
        <v>0.2325180188730642</v>
      </c>
    </row>
    <row r="610" spans="1:1" hidden="1" x14ac:dyDescent="0.2">
      <c r="A610" s="104">
        <v>0.23357558540542778</v>
      </c>
    </row>
    <row r="611" spans="1:1" hidden="1" x14ac:dyDescent="0.2">
      <c r="A611" s="144">
        <v>0.23542701847804404</v>
      </c>
    </row>
    <row r="612" spans="1:1" hidden="1" x14ac:dyDescent="0.2">
      <c r="A612" s="104">
        <v>0.23802792397708439</v>
      </c>
    </row>
    <row r="613" spans="1:1" hidden="1" x14ac:dyDescent="0.2">
      <c r="A613" s="394">
        <v>0.23805057202693411</v>
      </c>
    </row>
    <row r="614" spans="1:1" hidden="1" x14ac:dyDescent="0.2">
      <c r="A614" s="394">
        <v>0.23834627743965561</v>
      </c>
    </row>
    <row r="615" spans="1:1" hidden="1" x14ac:dyDescent="0.2">
      <c r="A615" s="104">
        <v>0.23841549104820681</v>
      </c>
    </row>
    <row r="616" spans="1:1" hidden="1" x14ac:dyDescent="0.2">
      <c r="A616" s="394">
        <v>0.24029645786822107</v>
      </c>
    </row>
    <row r="617" spans="1:1" hidden="1" x14ac:dyDescent="0.2">
      <c r="A617" s="104">
        <v>0.24333834617703551</v>
      </c>
    </row>
    <row r="618" spans="1:1" hidden="1" x14ac:dyDescent="0.2">
      <c r="A618" s="104">
        <v>0.24362799281298428</v>
      </c>
    </row>
    <row r="619" spans="1:1" hidden="1" x14ac:dyDescent="0.2">
      <c r="A619" s="104">
        <v>0.2467773092257439</v>
      </c>
    </row>
    <row r="620" spans="1:1" hidden="1" x14ac:dyDescent="0.2">
      <c r="A620" s="394">
        <v>0.24684564350181978</v>
      </c>
    </row>
    <row r="621" spans="1:1" hidden="1" x14ac:dyDescent="0.2">
      <c r="A621" s="280">
        <v>0.24780990862665539</v>
      </c>
    </row>
    <row r="622" spans="1:1" hidden="1" x14ac:dyDescent="0.2">
      <c r="A622" s="104">
        <v>0.25149532758351478</v>
      </c>
    </row>
    <row r="623" spans="1:1" hidden="1" x14ac:dyDescent="0.2">
      <c r="A623" s="394">
        <v>0.25374486289917408</v>
      </c>
    </row>
    <row r="624" spans="1:1" hidden="1" x14ac:dyDescent="0.2">
      <c r="A624" s="104">
        <v>0.25457814291375991</v>
      </c>
    </row>
    <row r="625" spans="1:1" hidden="1" x14ac:dyDescent="0.2">
      <c r="A625" s="104">
        <v>0.2573952233406005</v>
      </c>
    </row>
    <row r="626" spans="1:1" hidden="1" x14ac:dyDescent="0.2">
      <c r="A626" s="394">
        <v>0.25791747933951337</v>
      </c>
    </row>
    <row r="627" spans="1:1" hidden="1" x14ac:dyDescent="0.2">
      <c r="A627" s="104">
        <v>0.26568423988683998</v>
      </c>
    </row>
    <row r="628" spans="1:1" hidden="1" x14ac:dyDescent="0.2">
      <c r="A628" s="104">
        <v>0.26687942805326736</v>
      </c>
    </row>
    <row r="629" spans="1:1" hidden="1" x14ac:dyDescent="0.2">
      <c r="A629" s="394">
        <v>0.27444798428315531</v>
      </c>
    </row>
    <row r="630" spans="1:1" hidden="1" x14ac:dyDescent="0.2">
      <c r="A630" s="394">
        <v>0.27646598645255915</v>
      </c>
    </row>
    <row r="631" spans="1:1" hidden="1" x14ac:dyDescent="0.2">
      <c r="A631" s="140">
        <v>0.27677228893260386</v>
      </c>
    </row>
    <row r="632" spans="1:1" hidden="1" x14ac:dyDescent="0.2">
      <c r="A632" s="394">
        <v>0.27696266763003274</v>
      </c>
    </row>
    <row r="633" spans="1:1" hidden="1" x14ac:dyDescent="0.2">
      <c r="A633" s="104">
        <v>0.27826285327924305</v>
      </c>
    </row>
    <row r="634" spans="1:1" hidden="1" x14ac:dyDescent="0.2">
      <c r="A634" s="104">
        <v>0.27902162694712596</v>
      </c>
    </row>
    <row r="635" spans="1:1" hidden="1" x14ac:dyDescent="0.2">
      <c r="A635" s="394">
        <v>0.28055347631006677</v>
      </c>
    </row>
    <row r="636" spans="1:1" hidden="1" x14ac:dyDescent="0.2">
      <c r="A636" s="144">
        <v>0.28087185896205691</v>
      </c>
    </row>
    <row r="637" spans="1:1" hidden="1" x14ac:dyDescent="0.2">
      <c r="A637" s="394">
        <v>0.2834502314981493</v>
      </c>
    </row>
    <row r="638" spans="1:1" hidden="1" x14ac:dyDescent="0.2">
      <c r="A638" s="394">
        <v>0.28347091000169167</v>
      </c>
    </row>
    <row r="639" spans="1:1" hidden="1" x14ac:dyDescent="0.2">
      <c r="A639" s="394">
        <v>0.28392895260874917</v>
      </c>
    </row>
    <row r="640" spans="1:1" hidden="1" x14ac:dyDescent="0.2">
      <c r="A640" s="394">
        <v>0.28550324623376833</v>
      </c>
    </row>
    <row r="641" spans="1:1" hidden="1" x14ac:dyDescent="0.2">
      <c r="A641" s="104">
        <v>0.28740122076592778</v>
      </c>
    </row>
    <row r="642" spans="1:1" hidden="1" x14ac:dyDescent="0.2">
      <c r="A642" s="394">
        <v>0.2875016914197297</v>
      </c>
    </row>
    <row r="643" spans="1:1" hidden="1" x14ac:dyDescent="0.2">
      <c r="A643" s="394">
        <v>0.29027087705321941</v>
      </c>
    </row>
    <row r="644" spans="1:1" hidden="1" x14ac:dyDescent="0.2">
      <c r="A644" s="394">
        <v>0.29047218727765634</v>
      </c>
    </row>
    <row r="645" spans="1:1" hidden="1" x14ac:dyDescent="0.2">
      <c r="A645" s="104">
        <v>0.29156949024849377</v>
      </c>
    </row>
    <row r="646" spans="1:1" hidden="1" x14ac:dyDescent="0.2">
      <c r="A646" s="104">
        <v>0.29203706740661994</v>
      </c>
    </row>
    <row r="647" spans="1:1" hidden="1" x14ac:dyDescent="0.2">
      <c r="A647" s="104">
        <v>0.2927202861619258</v>
      </c>
    </row>
    <row r="648" spans="1:1" hidden="1" x14ac:dyDescent="0.2">
      <c r="A648" s="394">
        <v>0.29361450918510679</v>
      </c>
    </row>
    <row r="649" spans="1:1" hidden="1" x14ac:dyDescent="0.2">
      <c r="A649" s="394">
        <v>0.29548292055355896</v>
      </c>
    </row>
    <row r="650" spans="1:1" hidden="1" x14ac:dyDescent="0.2">
      <c r="A650" s="394">
        <v>0.29717309648047996</v>
      </c>
    </row>
    <row r="651" spans="1:1" hidden="1" x14ac:dyDescent="0.2">
      <c r="A651" s="104">
        <v>0.29827985064043938</v>
      </c>
    </row>
    <row r="652" spans="1:1" hidden="1" x14ac:dyDescent="0.2">
      <c r="A652" s="394">
        <v>0.29915776773554237</v>
      </c>
    </row>
    <row r="653" spans="1:1" hidden="1" x14ac:dyDescent="0.2">
      <c r="A653" s="394">
        <v>0.30212137955490315</v>
      </c>
    </row>
    <row r="654" spans="1:1" hidden="1" x14ac:dyDescent="0.2">
      <c r="A654" s="394">
        <v>0.30345193155982253</v>
      </c>
    </row>
    <row r="655" spans="1:1" hidden="1" x14ac:dyDescent="0.2">
      <c r="A655" s="104">
        <v>0.3072469883463449</v>
      </c>
    </row>
    <row r="656" spans="1:1" hidden="1" x14ac:dyDescent="0.2">
      <c r="A656" s="394">
        <v>0.30737980372986806</v>
      </c>
    </row>
    <row r="657" spans="1:1" hidden="1" x14ac:dyDescent="0.2">
      <c r="A657" s="104">
        <v>0.30907310136902533</v>
      </c>
    </row>
    <row r="658" spans="1:1" hidden="1" x14ac:dyDescent="0.2">
      <c r="A658" s="131">
        <v>0.30931092297139395</v>
      </c>
    </row>
    <row r="659" spans="1:1" hidden="1" x14ac:dyDescent="0.2">
      <c r="A659" s="394">
        <v>0.31148788593754029</v>
      </c>
    </row>
    <row r="660" spans="1:1" hidden="1" x14ac:dyDescent="0.2">
      <c r="A660" s="394">
        <v>0.31567903732779934</v>
      </c>
    </row>
    <row r="661" spans="1:1" hidden="1" x14ac:dyDescent="0.2">
      <c r="A661" s="394">
        <v>0.3168358339651669</v>
      </c>
    </row>
    <row r="662" spans="1:1" hidden="1" x14ac:dyDescent="0.2">
      <c r="A662" s="394">
        <v>0.31761580178488069</v>
      </c>
    </row>
    <row r="663" spans="1:1" hidden="1" x14ac:dyDescent="0.2">
      <c r="A663" s="394">
        <v>0.31916090370221051</v>
      </c>
    </row>
    <row r="664" spans="1:1" hidden="1" x14ac:dyDescent="0.2">
      <c r="A664" s="394">
        <v>0.31922209904375476</v>
      </c>
    </row>
    <row r="665" spans="1:1" hidden="1" x14ac:dyDescent="0.2">
      <c r="A665" s="394">
        <v>0.31933727388312017</v>
      </c>
    </row>
    <row r="666" spans="1:1" hidden="1" x14ac:dyDescent="0.2">
      <c r="A666" s="394">
        <v>0.32124430122127245</v>
      </c>
    </row>
    <row r="667" spans="1:1" hidden="1" x14ac:dyDescent="0.2">
      <c r="A667" s="104">
        <v>0.32460065287839734</v>
      </c>
    </row>
    <row r="668" spans="1:1" hidden="1" x14ac:dyDescent="0.2">
      <c r="A668" s="394">
        <v>0.32523254653934197</v>
      </c>
    </row>
    <row r="669" spans="1:1" hidden="1" x14ac:dyDescent="0.2">
      <c r="A669" s="394">
        <v>0.32866420158392495</v>
      </c>
    </row>
    <row r="670" spans="1:1" hidden="1" x14ac:dyDescent="0.2">
      <c r="A670" s="104">
        <v>0.33206031539931269</v>
      </c>
    </row>
    <row r="671" spans="1:1" hidden="1" x14ac:dyDescent="0.2">
      <c r="A671" s="394">
        <v>0.33368867747188213</v>
      </c>
    </row>
    <row r="672" spans="1:1" hidden="1" x14ac:dyDescent="0.2">
      <c r="A672" s="394">
        <v>0.33432442408481089</v>
      </c>
    </row>
    <row r="673" spans="1:1" hidden="1" x14ac:dyDescent="0.2">
      <c r="A673" s="394">
        <v>0.33664492956441672</v>
      </c>
    </row>
    <row r="674" spans="1:1" hidden="1" x14ac:dyDescent="0.2">
      <c r="A674" s="394">
        <v>0.33753445429004936</v>
      </c>
    </row>
    <row r="675" spans="1:1" hidden="1" x14ac:dyDescent="0.2">
      <c r="A675" s="394">
        <v>0.34013825866287073</v>
      </c>
    </row>
    <row r="676" spans="1:1" hidden="1" x14ac:dyDescent="0.2">
      <c r="A676" s="104">
        <v>0.34381945083562693</v>
      </c>
    </row>
    <row r="677" spans="1:1" hidden="1" x14ac:dyDescent="0.2">
      <c r="A677" s="394">
        <v>0.34482251885797277</v>
      </c>
    </row>
    <row r="678" spans="1:1" hidden="1" x14ac:dyDescent="0.2">
      <c r="A678" s="392">
        <v>0.34660266673044271</v>
      </c>
    </row>
    <row r="679" spans="1:1" hidden="1" x14ac:dyDescent="0.2">
      <c r="A679" s="394">
        <v>0.34734940943604764</v>
      </c>
    </row>
    <row r="680" spans="1:1" hidden="1" x14ac:dyDescent="0.2">
      <c r="A680" s="394">
        <v>0.34749001829727044</v>
      </c>
    </row>
    <row r="681" spans="1:1" hidden="1" x14ac:dyDescent="0.2">
      <c r="A681" s="104">
        <v>0.34784103731922977</v>
      </c>
    </row>
    <row r="682" spans="1:1" hidden="1" x14ac:dyDescent="0.2">
      <c r="A682" s="104">
        <v>0.3507312177427786</v>
      </c>
    </row>
    <row r="683" spans="1:1" hidden="1" x14ac:dyDescent="0.2">
      <c r="A683" s="394">
        <v>0.35367617020415176</v>
      </c>
    </row>
    <row r="684" spans="1:1" hidden="1" x14ac:dyDescent="0.2">
      <c r="A684" s="394">
        <v>0.35490960876615896</v>
      </c>
    </row>
    <row r="685" spans="1:1" hidden="1" x14ac:dyDescent="0.2">
      <c r="A685" s="104">
        <v>0.35783584786389477</v>
      </c>
    </row>
    <row r="686" spans="1:1" hidden="1" x14ac:dyDescent="0.2">
      <c r="A686" s="394">
        <v>0.36511171267733866</v>
      </c>
    </row>
    <row r="687" spans="1:1" hidden="1" x14ac:dyDescent="0.2">
      <c r="A687" s="394">
        <v>0.36663965042526181</v>
      </c>
    </row>
    <row r="688" spans="1:1" hidden="1" x14ac:dyDescent="0.2">
      <c r="A688" s="104">
        <v>0.37020426034774312</v>
      </c>
    </row>
    <row r="689" spans="1:1" hidden="1" x14ac:dyDescent="0.2">
      <c r="A689" s="394">
        <v>0.37532795507561412</v>
      </c>
    </row>
    <row r="690" spans="1:1" hidden="1" x14ac:dyDescent="0.2">
      <c r="A690" s="104">
        <v>0.37558463593919678</v>
      </c>
    </row>
    <row r="691" spans="1:1" hidden="1" x14ac:dyDescent="0.2">
      <c r="A691" s="394">
        <v>0.37675780296505801</v>
      </c>
    </row>
    <row r="692" spans="1:1" hidden="1" x14ac:dyDescent="0.2">
      <c r="A692" s="104">
        <v>0.37870403890312554</v>
      </c>
    </row>
    <row r="693" spans="1:1" hidden="1" x14ac:dyDescent="0.2">
      <c r="A693" s="394">
        <v>0.38121978418603542</v>
      </c>
    </row>
    <row r="694" spans="1:1" hidden="1" x14ac:dyDescent="0.2">
      <c r="A694" s="394">
        <v>0.38313474612193099</v>
      </c>
    </row>
    <row r="695" spans="1:1" hidden="1" x14ac:dyDescent="0.2">
      <c r="A695" s="104">
        <v>0.38350226737294912</v>
      </c>
    </row>
    <row r="696" spans="1:1" hidden="1" x14ac:dyDescent="0.2">
      <c r="A696" s="394">
        <v>0.38396119091868153</v>
      </c>
    </row>
    <row r="697" spans="1:1" hidden="1" x14ac:dyDescent="0.2">
      <c r="A697" s="104">
        <v>0.38686145172279973</v>
      </c>
    </row>
    <row r="698" spans="1:1" hidden="1" x14ac:dyDescent="0.2">
      <c r="A698" s="104">
        <v>0.38704949603596228</v>
      </c>
    </row>
    <row r="699" spans="1:1" hidden="1" x14ac:dyDescent="0.2">
      <c r="A699" s="104">
        <v>0.39081090111323258</v>
      </c>
    </row>
    <row r="700" spans="1:1" hidden="1" x14ac:dyDescent="0.2">
      <c r="A700" s="104">
        <v>0.39100853729955043</v>
      </c>
    </row>
    <row r="701" spans="1:1" hidden="1" x14ac:dyDescent="0.2">
      <c r="A701" s="104">
        <v>0.3923355691913728</v>
      </c>
    </row>
    <row r="702" spans="1:1" hidden="1" x14ac:dyDescent="0.2">
      <c r="A702" s="104">
        <v>0.39316197154064481</v>
      </c>
    </row>
    <row r="703" spans="1:1" hidden="1" x14ac:dyDescent="0.2">
      <c r="A703" s="394">
        <v>0.39990676707243233</v>
      </c>
    </row>
    <row r="704" spans="1:1" hidden="1" x14ac:dyDescent="0.2">
      <c r="A704" s="394">
        <v>0.40027076445213661</v>
      </c>
    </row>
    <row r="705" spans="1:1" hidden="1" x14ac:dyDescent="0.2">
      <c r="A705" s="394">
        <v>0.40168668051315359</v>
      </c>
    </row>
    <row r="706" spans="1:1" hidden="1" x14ac:dyDescent="0.2">
      <c r="A706" s="394">
        <v>0.40200045917025173</v>
      </c>
    </row>
    <row r="707" spans="1:1" hidden="1" x14ac:dyDescent="0.2">
      <c r="A707" s="394">
        <v>0.40632704866605929</v>
      </c>
    </row>
    <row r="708" spans="1:1" hidden="1" x14ac:dyDescent="0.2">
      <c r="A708" s="394">
        <v>0.40788729328619633</v>
      </c>
    </row>
    <row r="709" spans="1:1" hidden="1" x14ac:dyDescent="0.2">
      <c r="A709" s="394">
        <v>0.40861344632157648</v>
      </c>
    </row>
    <row r="710" spans="1:1" hidden="1" x14ac:dyDescent="0.2">
      <c r="A710" s="394">
        <v>0.41181216784662888</v>
      </c>
    </row>
    <row r="711" spans="1:1" hidden="1" x14ac:dyDescent="0.2">
      <c r="A711" s="104">
        <v>0.41288523468705529</v>
      </c>
    </row>
    <row r="712" spans="1:1" hidden="1" x14ac:dyDescent="0.2">
      <c r="A712" s="104">
        <v>0.41580859136474979</v>
      </c>
    </row>
    <row r="713" spans="1:1" hidden="1" x14ac:dyDescent="0.2">
      <c r="A713" s="394">
        <v>0.41606986282159619</v>
      </c>
    </row>
    <row r="714" spans="1:1" hidden="1" x14ac:dyDescent="0.2">
      <c r="A714" s="104">
        <v>0.41740427924378187</v>
      </c>
    </row>
    <row r="715" spans="1:1" hidden="1" x14ac:dyDescent="0.2">
      <c r="A715" s="144">
        <v>0.41794742455585743</v>
      </c>
    </row>
    <row r="716" spans="1:1" hidden="1" x14ac:dyDescent="0.2">
      <c r="A716" s="104">
        <v>0.42239819503013942</v>
      </c>
    </row>
    <row r="717" spans="1:1" hidden="1" x14ac:dyDescent="0.2">
      <c r="A717" s="104">
        <v>0.42251705109812088</v>
      </c>
    </row>
    <row r="718" spans="1:1" hidden="1" x14ac:dyDescent="0.2">
      <c r="A718" s="104">
        <v>0.42530256307590841</v>
      </c>
    </row>
    <row r="719" spans="1:1" hidden="1" x14ac:dyDescent="0.2">
      <c r="A719" s="104">
        <v>0.42589032189525122</v>
      </c>
    </row>
    <row r="720" spans="1:1" hidden="1" x14ac:dyDescent="0.2">
      <c r="A720" s="394">
        <v>0.43083974241484535</v>
      </c>
    </row>
    <row r="721" spans="1:1" hidden="1" x14ac:dyDescent="0.2">
      <c r="A721" s="394">
        <v>0.43195600307887583</v>
      </c>
    </row>
    <row r="722" spans="1:1" hidden="1" x14ac:dyDescent="0.2">
      <c r="A722" s="394">
        <v>0.43470440538451394</v>
      </c>
    </row>
    <row r="723" spans="1:1" hidden="1" x14ac:dyDescent="0.2">
      <c r="A723" s="394">
        <v>0.44497545658625848</v>
      </c>
    </row>
    <row r="724" spans="1:1" hidden="1" x14ac:dyDescent="0.2">
      <c r="A724" s="394">
        <v>0.44512471532060838</v>
      </c>
    </row>
    <row r="725" spans="1:1" hidden="1" x14ac:dyDescent="0.2">
      <c r="A725" s="104">
        <v>0.44947629633098041</v>
      </c>
    </row>
    <row r="726" spans="1:1" hidden="1" x14ac:dyDescent="0.2">
      <c r="A726" s="394">
        <v>0.44981366241762766</v>
      </c>
    </row>
    <row r="727" spans="1:1" hidden="1" x14ac:dyDescent="0.2">
      <c r="A727" s="104">
        <v>0.4518806481619273</v>
      </c>
    </row>
    <row r="728" spans="1:1" hidden="1" x14ac:dyDescent="0.2">
      <c r="A728" s="104">
        <v>0.45260174598130698</v>
      </c>
    </row>
    <row r="729" spans="1:1" hidden="1" x14ac:dyDescent="0.2">
      <c r="A729" s="394">
        <v>0.45780503329225519</v>
      </c>
    </row>
    <row r="730" spans="1:1" hidden="1" x14ac:dyDescent="0.2">
      <c r="A730" s="104">
        <v>0.45798820374738236</v>
      </c>
    </row>
    <row r="731" spans="1:1" hidden="1" x14ac:dyDescent="0.2">
      <c r="A731" s="394">
        <v>0.45853465878044597</v>
      </c>
    </row>
    <row r="732" spans="1:1" hidden="1" x14ac:dyDescent="0.2">
      <c r="A732" s="104">
        <v>0.46176200828850478</v>
      </c>
    </row>
    <row r="733" spans="1:1" hidden="1" x14ac:dyDescent="0.2">
      <c r="A733" s="394">
        <v>0.46370566341140185</v>
      </c>
    </row>
    <row r="734" spans="1:1" hidden="1" x14ac:dyDescent="0.2">
      <c r="A734" s="394">
        <v>0.46473638637757242</v>
      </c>
    </row>
    <row r="735" spans="1:1" hidden="1" x14ac:dyDescent="0.2">
      <c r="A735" s="104">
        <v>0.46721012711253573</v>
      </c>
    </row>
    <row r="736" spans="1:1" hidden="1" x14ac:dyDescent="0.2">
      <c r="A736" s="104">
        <v>0.4683843244809176</v>
      </c>
    </row>
    <row r="737" spans="1:1" hidden="1" x14ac:dyDescent="0.2">
      <c r="A737" s="104">
        <v>0.47356011263447195</v>
      </c>
    </row>
    <row r="738" spans="1:1" hidden="1" x14ac:dyDescent="0.2">
      <c r="A738" s="394">
        <v>0.47392408590864088</v>
      </c>
    </row>
    <row r="739" spans="1:1" hidden="1" x14ac:dyDescent="0.2">
      <c r="A739" s="104">
        <v>0.47448319791354843</v>
      </c>
    </row>
    <row r="740" spans="1:1" hidden="1" x14ac:dyDescent="0.2">
      <c r="A740" s="394">
        <v>0.47451490956315689</v>
      </c>
    </row>
    <row r="741" spans="1:1" hidden="1" x14ac:dyDescent="0.2">
      <c r="A741" s="394">
        <v>0.47483547458671049</v>
      </c>
    </row>
    <row r="742" spans="1:1" hidden="1" x14ac:dyDescent="0.2">
      <c r="A742" s="394">
        <v>0.47528219347663958</v>
      </c>
    </row>
    <row r="743" spans="1:1" hidden="1" x14ac:dyDescent="0.2">
      <c r="A743" s="394">
        <v>0.47598326801218827</v>
      </c>
    </row>
    <row r="744" spans="1:1" hidden="1" x14ac:dyDescent="0.2">
      <c r="A744" s="394">
        <v>0.47930322146012694</v>
      </c>
    </row>
    <row r="745" spans="1:1" hidden="1" x14ac:dyDescent="0.2">
      <c r="A745" s="394">
        <v>0.48189057184792938</v>
      </c>
    </row>
    <row r="746" spans="1:1" hidden="1" x14ac:dyDescent="0.2">
      <c r="A746" s="104">
        <v>0.48304334328762843</v>
      </c>
    </row>
    <row r="747" spans="1:1" hidden="1" x14ac:dyDescent="0.2">
      <c r="A747" s="394">
        <v>0.4839045785154803</v>
      </c>
    </row>
    <row r="748" spans="1:1" hidden="1" x14ac:dyDescent="0.2">
      <c r="A748" s="394">
        <v>0.48968341212757105</v>
      </c>
    </row>
    <row r="749" spans="1:1" hidden="1" x14ac:dyDescent="0.2">
      <c r="A749" s="394">
        <v>0.49304621932895154</v>
      </c>
    </row>
    <row r="750" spans="1:1" hidden="1" x14ac:dyDescent="0.2">
      <c r="A750" s="104">
        <v>0.49417942844924534</v>
      </c>
    </row>
    <row r="751" spans="1:1" hidden="1" x14ac:dyDescent="0.2">
      <c r="A751" s="104">
        <v>0.49423925984623418</v>
      </c>
    </row>
    <row r="752" spans="1:1" hidden="1" x14ac:dyDescent="0.2">
      <c r="A752" s="394">
        <v>0.49790859554951661</v>
      </c>
    </row>
    <row r="753" spans="1:1" hidden="1" x14ac:dyDescent="0.2">
      <c r="A753" s="104">
        <v>0.49943158227293205</v>
      </c>
    </row>
    <row r="754" spans="1:1" hidden="1" x14ac:dyDescent="0.2">
      <c r="A754" s="394">
        <v>0.50006267615121525</v>
      </c>
    </row>
    <row r="755" spans="1:1" hidden="1" x14ac:dyDescent="0.2">
      <c r="A755" s="394">
        <v>0.50312306185429145</v>
      </c>
    </row>
    <row r="756" spans="1:1" hidden="1" x14ac:dyDescent="0.2">
      <c r="A756" s="104">
        <v>0.50537948575529734</v>
      </c>
    </row>
    <row r="757" spans="1:1" hidden="1" x14ac:dyDescent="0.2">
      <c r="A757" s="394">
        <v>0.50552901962705699</v>
      </c>
    </row>
    <row r="758" spans="1:1" hidden="1" x14ac:dyDescent="0.2">
      <c r="A758" s="394">
        <v>0.50756722363249063</v>
      </c>
    </row>
    <row r="759" spans="1:1" hidden="1" x14ac:dyDescent="0.2">
      <c r="A759" s="394">
        <v>0.50953659878962876</v>
      </c>
    </row>
    <row r="760" spans="1:1" hidden="1" x14ac:dyDescent="0.2">
      <c r="A760" s="104">
        <v>0.51186193550801784</v>
      </c>
    </row>
    <row r="761" spans="1:1" hidden="1" x14ac:dyDescent="0.2">
      <c r="A761" s="394">
        <v>0.5120125123843331</v>
      </c>
    </row>
    <row r="762" spans="1:1" hidden="1" x14ac:dyDescent="0.2">
      <c r="A762" s="394">
        <v>0.51264448000447027</v>
      </c>
    </row>
    <row r="763" spans="1:1" hidden="1" x14ac:dyDescent="0.2">
      <c r="A763" s="394">
        <v>0.51451588288172312</v>
      </c>
    </row>
    <row r="764" spans="1:1" hidden="1" x14ac:dyDescent="0.2">
      <c r="A764" s="394">
        <v>0.51507829139444405</v>
      </c>
    </row>
    <row r="765" spans="1:1" hidden="1" x14ac:dyDescent="0.2">
      <c r="A765" s="104">
        <v>0.51587301437265731</v>
      </c>
    </row>
    <row r="766" spans="1:1" hidden="1" x14ac:dyDescent="0.2">
      <c r="A766" s="104">
        <v>0.51639876733827217</v>
      </c>
    </row>
    <row r="767" spans="1:1" hidden="1" x14ac:dyDescent="0.2">
      <c r="A767" s="104">
        <v>0.51886377562961394</v>
      </c>
    </row>
    <row r="768" spans="1:1" hidden="1" x14ac:dyDescent="0.2">
      <c r="A768" s="394">
        <v>0.52152022183640634</v>
      </c>
    </row>
    <row r="769" spans="1:1" hidden="1" x14ac:dyDescent="0.2">
      <c r="A769" s="394">
        <v>0.52214436210308302</v>
      </c>
    </row>
    <row r="770" spans="1:1" hidden="1" x14ac:dyDescent="0.2">
      <c r="A770" s="394">
        <v>0.52840357457757259</v>
      </c>
    </row>
    <row r="771" spans="1:1" hidden="1" x14ac:dyDescent="0.2">
      <c r="A771" s="394">
        <v>0.53280229461328199</v>
      </c>
    </row>
    <row r="772" spans="1:1" hidden="1" x14ac:dyDescent="0.2">
      <c r="A772" s="104">
        <v>0.53288153973925612</v>
      </c>
    </row>
    <row r="773" spans="1:1" hidden="1" x14ac:dyDescent="0.2">
      <c r="A773" s="394">
        <v>0.53600012726610169</v>
      </c>
    </row>
    <row r="774" spans="1:1" hidden="1" x14ac:dyDescent="0.2">
      <c r="A774" s="104">
        <v>0.53625655436289899</v>
      </c>
    </row>
    <row r="775" spans="1:1" hidden="1" x14ac:dyDescent="0.2">
      <c r="A775" s="394">
        <v>0.54255510837123078</v>
      </c>
    </row>
    <row r="776" spans="1:1" hidden="1" x14ac:dyDescent="0.2">
      <c r="A776" s="394">
        <v>0.54267564433205218</v>
      </c>
    </row>
    <row r="777" spans="1:1" hidden="1" x14ac:dyDescent="0.2">
      <c r="A777" s="394">
        <v>0.55411953830038607</v>
      </c>
    </row>
    <row r="778" spans="1:1" hidden="1" x14ac:dyDescent="0.2">
      <c r="A778" s="394">
        <v>0.56038631248599768</v>
      </c>
    </row>
    <row r="779" spans="1:1" hidden="1" x14ac:dyDescent="0.2">
      <c r="A779" s="394">
        <v>0.5622712866021069</v>
      </c>
    </row>
    <row r="780" spans="1:1" hidden="1" x14ac:dyDescent="0.2">
      <c r="A780" s="104">
        <v>0.56455772321364472</v>
      </c>
    </row>
    <row r="781" spans="1:1" hidden="1" x14ac:dyDescent="0.2">
      <c r="A781" s="394">
        <v>0.56566745596488355</v>
      </c>
    </row>
    <row r="782" spans="1:1" hidden="1" x14ac:dyDescent="0.2">
      <c r="A782" s="394">
        <v>0.57069824755930521</v>
      </c>
    </row>
    <row r="783" spans="1:1" hidden="1" x14ac:dyDescent="0.2">
      <c r="A783" s="394">
        <v>0.57221443425713625</v>
      </c>
    </row>
    <row r="784" spans="1:1" hidden="1" x14ac:dyDescent="0.2">
      <c r="A784" s="104">
        <v>0.57739857622777402</v>
      </c>
    </row>
    <row r="785" spans="1:1" hidden="1" x14ac:dyDescent="0.2">
      <c r="A785" s="104">
        <v>0.58782496499592662</v>
      </c>
    </row>
    <row r="786" spans="1:1" hidden="1" x14ac:dyDescent="0.2">
      <c r="A786" s="104">
        <v>0.58844829245141606</v>
      </c>
    </row>
    <row r="787" spans="1:1" hidden="1" x14ac:dyDescent="0.2">
      <c r="A787" s="144">
        <v>0.59129311367617143</v>
      </c>
    </row>
    <row r="788" spans="1:1" hidden="1" x14ac:dyDescent="0.2">
      <c r="A788" s="394">
        <v>0.59347928937685746</v>
      </c>
    </row>
    <row r="789" spans="1:1" hidden="1" x14ac:dyDescent="0.2">
      <c r="A789" s="394">
        <v>0.59374459644974786</v>
      </c>
    </row>
    <row r="790" spans="1:1" hidden="1" x14ac:dyDescent="0.2">
      <c r="A790" s="144">
        <v>0.59473240470070943</v>
      </c>
    </row>
    <row r="791" spans="1:1" hidden="1" x14ac:dyDescent="0.2">
      <c r="A791" s="394">
        <v>0.59520881075917353</v>
      </c>
    </row>
    <row r="792" spans="1:1" hidden="1" x14ac:dyDescent="0.2">
      <c r="A792" s="394">
        <v>0.59814991463699352</v>
      </c>
    </row>
    <row r="793" spans="1:1" hidden="1" x14ac:dyDescent="0.2">
      <c r="A793" s="394">
        <v>0.59883873109122243</v>
      </c>
    </row>
    <row r="794" spans="1:1" hidden="1" x14ac:dyDescent="0.2">
      <c r="A794" s="394">
        <v>0.59948422664854428</v>
      </c>
    </row>
    <row r="795" spans="1:1" hidden="1" x14ac:dyDescent="0.2">
      <c r="A795" s="394">
        <v>0.59982681502261892</v>
      </c>
    </row>
    <row r="796" spans="1:1" hidden="1" x14ac:dyDescent="0.2">
      <c r="A796" s="394">
        <v>0.60200228237492448</v>
      </c>
    </row>
    <row r="797" spans="1:1" hidden="1" x14ac:dyDescent="0.2">
      <c r="A797" s="394">
        <v>0.60239692413963164</v>
      </c>
    </row>
    <row r="798" spans="1:1" hidden="1" x14ac:dyDescent="0.2">
      <c r="A798" s="394">
        <v>0.61728651558737591</v>
      </c>
    </row>
    <row r="799" spans="1:1" hidden="1" x14ac:dyDescent="0.2">
      <c r="A799" s="394">
        <v>0.61794902547505115</v>
      </c>
    </row>
    <row r="800" spans="1:1" hidden="1" x14ac:dyDescent="0.2">
      <c r="A800" s="394">
        <v>0.61933211870953153</v>
      </c>
    </row>
    <row r="801" spans="1:1" hidden="1" x14ac:dyDescent="0.2">
      <c r="A801" s="104">
        <v>0.6220737581645488</v>
      </c>
    </row>
    <row r="802" spans="1:1" hidden="1" x14ac:dyDescent="0.2">
      <c r="A802" s="104">
        <v>0.63232880669805391</v>
      </c>
    </row>
    <row r="803" spans="1:1" hidden="1" x14ac:dyDescent="0.2">
      <c r="A803" s="394">
        <v>0.63537865753773071</v>
      </c>
    </row>
    <row r="804" spans="1:1" hidden="1" x14ac:dyDescent="0.2">
      <c r="A804" s="104">
        <v>0.63961946708391304</v>
      </c>
    </row>
    <row r="805" spans="1:1" hidden="1" x14ac:dyDescent="0.2">
      <c r="A805" s="394">
        <v>0.64250808828946981</v>
      </c>
    </row>
    <row r="806" spans="1:1" hidden="1" x14ac:dyDescent="0.2">
      <c r="A806" s="394">
        <v>0.64455298864860078</v>
      </c>
    </row>
    <row r="807" spans="1:1" hidden="1" x14ac:dyDescent="0.2">
      <c r="A807" s="104">
        <v>0.64468754859377819</v>
      </c>
    </row>
    <row r="808" spans="1:1" hidden="1" x14ac:dyDescent="0.2">
      <c r="A808" s="394">
        <v>0.64713192598095626</v>
      </c>
    </row>
    <row r="809" spans="1:1" hidden="1" x14ac:dyDescent="0.2">
      <c r="A809" s="104">
        <v>0.64811478361919805</v>
      </c>
    </row>
    <row r="810" spans="1:1" hidden="1" x14ac:dyDescent="0.2">
      <c r="A810" s="394">
        <v>0.64922298325524119</v>
      </c>
    </row>
    <row r="811" spans="1:1" hidden="1" x14ac:dyDescent="0.2">
      <c r="A811" s="394">
        <v>0.64938643048790334</v>
      </c>
    </row>
    <row r="812" spans="1:1" hidden="1" x14ac:dyDescent="0.2">
      <c r="A812" s="104">
        <v>0.6506225078324257</v>
      </c>
    </row>
    <row r="813" spans="1:1" hidden="1" x14ac:dyDescent="0.2">
      <c r="A813" s="104">
        <v>0.65427754973188579</v>
      </c>
    </row>
    <row r="814" spans="1:1" hidden="1" x14ac:dyDescent="0.2">
      <c r="A814" s="394">
        <v>0.65485641398799865</v>
      </c>
    </row>
    <row r="815" spans="1:1" hidden="1" x14ac:dyDescent="0.2">
      <c r="A815" s="104">
        <v>0.65619579709992815</v>
      </c>
    </row>
    <row r="816" spans="1:1" hidden="1" x14ac:dyDescent="0.2">
      <c r="A816" s="104">
        <v>0.65913404660631025</v>
      </c>
    </row>
    <row r="817" spans="1:1" hidden="1" x14ac:dyDescent="0.2">
      <c r="A817" s="394">
        <v>0.66022523818403167</v>
      </c>
    </row>
    <row r="818" spans="1:1" hidden="1" x14ac:dyDescent="0.2">
      <c r="A818" s="104">
        <v>0.66399670722302995</v>
      </c>
    </row>
    <row r="819" spans="1:1" hidden="1" x14ac:dyDescent="0.2">
      <c r="A819" s="394">
        <v>0.66925602020632136</v>
      </c>
    </row>
    <row r="820" spans="1:1" hidden="1" x14ac:dyDescent="0.2">
      <c r="A820" s="394">
        <v>0.67151162423573263</v>
      </c>
    </row>
    <row r="821" spans="1:1" hidden="1" x14ac:dyDescent="0.2">
      <c r="A821" s="104">
        <v>0.67546097763833979</v>
      </c>
    </row>
    <row r="822" spans="1:1" hidden="1" x14ac:dyDescent="0.2">
      <c r="A822" s="392">
        <v>0.67814163338091626</v>
      </c>
    </row>
    <row r="823" spans="1:1" hidden="1" x14ac:dyDescent="0.2">
      <c r="A823" s="394">
        <v>0.67905203687806415</v>
      </c>
    </row>
    <row r="824" spans="1:1" hidden="1" x14ac:dyDescent="0.2">
      <c r="A824" s="394">
        <v>0.67975251336627673</v>
      </c>
    </row>
    <row r="825" spans="1:1" hidden="1" x14ac:dyDescent="0.2">
      <c r="A825" s="394">
        <v>0.68044318251235447</v>
      </c>
    </row>
    <row r="826" spans="1:1" hidden="1" x14ac:dyDescent="0.2">
      <c r="A826" s="394">
        <v>0.68109028195692156</v>
      </c>
    </row>
    <row r="827" spans="1:1" hidden="1" x14ac:dyDescent="0.2">
      <c r="A827" s="394">
        <v>0.68308515143519566</v>
      </c>
    </row>
    <row r="828" spans="1:1" hidden="1" x14ac:dyDescent="0.2">
      <c r="A828" s="394">
        <v>0.68424505493906063</v>
      </c>
    </row>
    <row r="829" spans="1:1" hidden="1" x14ac:dyDescent="0.2">
      <c r="A829" s="394">
        <v>0.68454512156780334</v>
      </c>
    </row>
    <row r="830" spans="1:1" hidden="1" x14ac:dyDescent="0.2">
      <c r="A830" s="104">
        <v>0.68664708933196872</v>
      </c>
    </row>
    <row r="831" spans="1:1" hidden="1" x14ac:dyDescent="0.2">
      <c r="A831" s="394">
        <v>0.6905219809652352</v>
      </c>
    </row>
    <row r="832" spans="1:1" hidden="1" x14ac:dyDescent="0.2">
      <c r="A832" s="104">
        <v>0.69183784502168288</v>
      </c>
    </row>
    <row r="833" spans="1:1" hidden="1" x14ac:dyDescent="0.2">
      <c r="A833" s="394">
        <v>0.6929620781965391</v>
      </c>
    </row>
    <row r="834" spans="1:1" hidden="1" x14ac:dyDescent="0.2">
      <c r="A834" s="394">
        <v>0.69637381129088149</v>
      </c>
    </row>
    <row r="835" spans="1:1" hidden="1" x14ac:dyDescent="0.2">
      <c r="A835" s="104">
        <v>0.69765166474388574</v>
      </c>
    </row>
    <row r="836" spans="1:1" hidden="1" x14ac:dyDescent="0.2">
      <c r="A836" s="394">
        <v>0.69955564775221868</v>
      </c>
    </row>
    <row r="837" spans="1:1" hidden="1" x14ac:dyDescent="0.2">
      <c r="A837" s="394">
        <v>0.70157413102846755</v>
      </c>
    </row>
    <row r="838" spans="1:1" hidden="1" x14ac:dyDescent="0.2">
      <c r="A838" s="394">
        <v>0.70451986509425035</v>
      </c>
    </row>
    <row r="839" spans="1:1" hidden="1" x14ac:dyDescent="0.2">
      <c r="A839" s="394">
        <v>0.70704554245719331</v>
      </c>
    </row>
    <row r="840" spans="1:1" hidden="1" x14ac:dyDescent="0.2">
      <c r="A840" s="394">
        <v>0.70889997605430333</v>
      </c>
    </row>
    <row r="841" spans="1:1" hidden="1" x14ac:dyDescent="0.2">
      <c r="A841" s="394">
        <v>0.71218863909137164</v>
      </c>
    </row>
    <row r="842" spans="1:1" hidden="1" x14ac:dyDescent="0.2">
      <c r="A842" s="104">
        <v>0.71520948150151975</v>
      </c>
    </row>
    <row r="843" spans="1:1" hidden="1" x14ac:dyDescent="0.2">
      <c r="A843" s="104">
        <v>0.7163094260100018</v>
      </c>
    </row>
    <row r="844" spans="1:1" hidden="1" x14ac:dyDescent="0.2">
      <c r="A844" s="104">
        <v>0.71753168016469226</v>
      </c>
    </row>
    <row r="845" spans="1:1" hidden="1" x14ac:dyDescent="0.2">
      <c r="A845" s="394">
        <v>0.71952460150429198</v>
      </c>
    </row>
    <row r="846" spans="1:1" hidden="1" x14ac:dyDescent="0.2">
      <c r="A846" s="104">
        <v>0.71964325512955662</v>
      </c>
    </row>
    <row r="847" spans="1:1" hidden="1" x14ac:dyDescent="0.2">
      <c r="A847" s="394">
        <v>0.72373502206635232</v>
      </c>
    </row>
    <row r="848" spans="1:1" hidden="1" x14ac:dyDescent="0.2">
      <c r="A848" s="394">
        <v>0.72454747536498454</v>
      </c>
    </row>
    <row r="849" spans="1:1" hidden="1" x14ac:dyDescent="0.2">
      <c r="A849" s="394">
        <v>0.73310215591027239</v>
      </c>
    </row>
    <row r="850" spans="1:1" hidden="1" x14ac:dyDescent="0.2">
      <c r="A850" s="104">
        <v>0.74134071232996712</v>
      </c>
    </row>
    <row r="851" spans="1:1" hidden="1" x14ac:dyDescent="0.2">
      <c r="A851" s="394">
        <v>0.74150137154956264</v>
      </c>
    </row>
    <row r="852" spans="1:1" hidden="1" x14ac:dyDescent="0.2">
      <c r="A852" s="394">
        <v>0.74444016828592519</v>
      </c>
    </row>
    <row r="853" spans="1:1" hidden="1" x14ac:dyDescent="0.2">
      <c r="A853" s="394">
        <v>0.75626300810280123</v>
      </c>
    </row>
    <row r="854" spans="1:1" hidden="1" x14ac:dyDescent="0.2">
      <c r="A854" s="104">
        <v>0.76095416254637138</v>
      </c>
    </row>
    <row r="855" spans="1:1" hidden="1" x14ac:dyDescent="0.2">
      <c r="A855" s="394">
        <v>0.76727950008528589</v>
      </c>
    </row>
    <row r="856" spans="1:1" hidden="1" x14ac:dyDescent="0.2">
      <c r="A856" s="394">
        <v>0.77524161164848104</v>
      </c>
    </row>
    <row r="857" spans="1:1" hidden="1" x14ac:dyDescent="0.2">
      <c r="A857" s="104">
        <v>0.77868816682476305</v>
      </c>
    </row>
    <row r="858" spans="1:1" hidden="1" x14ac:dyDescent="0.2">
      <c r="A858" s="104">
        <v>0.77961491353151624</v>
      </c>
    </row>
    <row r="859" spans="1:1" hidden="1" x14ac:dyDescent="0.2">
      <c r="A859" s="394">
        <v>0.78030806641913353</v>
      </c>
    </row>
    <row r="860" spans="1:1" hidden="1" x14ac:dyDescent="0.2">
      <c r="A860" s="394">
        <v>0.78176624893046176</v>
      </c>
    </row>
    <row r="861" spans="1:1" hidden="1" x14ac:dyDescent="0.2">
      <c r="A861" s="394">
        <v>0.7864863313359387</v>
      </c>
    </row>
    <row r="862" spans="1:1" hidden="1" x14ac:dyDescent="0.2">
      <c r="A862" s="104">
        <v>0.78727279656525306</v>
      </c>
    </row>
    <row r="863" spans="1:1" hidden="1" x14ac:dyDescent="0.2">
      <c r="A863" s="394">
        <v>0.7874941510402409</v>
      </c>
    </row>
    <row r="864" spans="1:1" hidden="1" x14ac:dyDescent="0.2">
      <c r="A864" s="394">
        <v>0.79814329823353214</v>
      </c>
    </row>
    <row r="865" spans="1:1" hidden="1" x14ac:dyDescent="0.2">
      <c r="A865" s="394">
        <v>0.79925047099279789</v>
      </c>
    </row>
    <row r="866" spans="1:1" hidden="1" x14ac:dyDescent="0.2">
      <c r="A866" s="104">
        <v>0.81408727597880892</v>
      </c>
    </row>
    <row r="867" spans="1:1" hidden="1" x14ac:dyDescent="0.2">
      <c r="A867" s="394">
        <v>0.8233891697171587</v>
      </c>
    </row>
    <row r="868" spans="1:1" hidden="1" x14ac:dyDescent="0.2">
      <c r="A868" s="104">
        <v>0.84147263253423299</v>
      </c>
    </row>
    <row r="869" spans="1:1" hidden="1" x14ac:dyDescent="0.2">
      <c r="A869" s="394">
        <v>0.84273783984778783</v>
      </c>
    </row>
    <row r="870" spans="1:1" hidden="1" x14ac:dyDescent="0.2">
      <c r="A870" s="394">
        <v>0.84292138549554929</v>
      </c>
    </row>
    <row r="871" spans="1:1" hidden="1" x14ac:dyDescent="0.2">
      <c r="A871" s="104">
        <v>0.84409313689441712</v>
      </c>
    </row>
    <row r="872" spans="1:1" hidden="1" x14ac:dyDescent="0.2">
      <c r="A872" s="394">
        <v>0.84652951240362961</v>
      </c>
    </row>
    <row r="873" spans="1:1" hidden="1" x14ac:dyDescent="0.2">
      <c r="A873" s="104">
        <v>0.84701598562027636</v>
      </c>
    </row>
    <row r="874" spans="1:1" hidden="1" x14ac:dyDescent="0.2">
      <c r="A874" s="394">
        <v>0.85100897278460375</v>
      </c>
    </row>
    <row r="875" spans="1:1" hidden="1" x14ac:dyDescent="0.2">
      <c r="A875" s="104">
        <v>0.85434489884909448</v>
      </c>
    </row>
    <row r="876" spans="1:1" hidden="1" x14ac:dyDescent="0.2">
      <c r="A876" s="394">
        <v>0.85481775277954464</v>
      </c>
    </row>
    <row r="877" spans="1:1" hidden="1" x14ac:dyDescent="0.2">
      <c r="A877" s="104">
        <v>0.85497005189076214</v>
      </c>
    </row>
    <row r="878" spans="1:1" hidden="1" x14ac:dyDescent="0.2">
      <c r="A878" s="394">
        <v>0.85898852719825181</v>
      </c>
    </row>
    <row r="879" spans="1:1" hidden="1" x14ac:dyDescent="0.2">
      <c r="A879" s="104">
        <v>0.86472193420839583</v>
      </c>
    </row>
    <row r="880" spans="1:1" hidden="1" x14ac:dyDescent="0.2">
      <c r="A880" s="394">
        <v>0.86917544896951293</v>
      </c>
    </row>
    <row r="881" spans="1:1" hidden="1" x14ac:dyDescent="0.2">
      <c r="A881" s="104">
        <v>0.8704111709461011</v>
      </c>
    </row>
    <row r="882" spans="1:1" hidden="1" x14ac:dyDescent="0.2">
      <c r="A882" s="394">
        <v>0.87164406663855454</v>
      </c>
    </row>
    <row r="883" spans="1:1" hidden="1" x14ac:dyDescent="0.2">
      <c r="A883" s="104">
        <v>0.87235223034536924</v>
      </c>
    </row>
    <row r="884" spans="1:1" hidden="1" x14ac:dyDescent="0.2">
      <c r="A884" s="394">
        <v>0.8737169133133933</v>
      </c>
    </row>
    <row r="885" spans="1:1" hidden="1" x14ac:dyDescent="0.2">
      <c r="A885" s="104">
        <v>0.87639967111196748</v>
      </c>
    </row>
    <row r="886" spans="1:1" hidden="1" x14ac:dyDescent="0.2">
      <c r="A886" s="104">
        <v>0.88676253319504506</v>
      </c>
    </row>
    <row r="887" spans="1:1" hidden="1" x14ac:dyDescent="0.2">
      <c r="A887" s="394">
        <v>0.88696532572842768</v>
      </c>
    </row>
    <row r="888" spans="1:1" hidden="1" x14ac:dyDescent="0.2">
      <c r="A888" s="104">
        <v>0.8878400742171686</v>
      </c>
    </row>
    <row r="889" spans="1:1" hidden="1" x14ac:dyDescent="0.2">
      <c r="A889" s="104">
        <v>0.88829892390599108</v>
      </c>
    </row>
    <row r="890" spans="1:1" hidden="1" x14ac:dyDescent="0.2">
      <c r="A890" s="104">
        <v>0.89430126067370208</v>
      </c>
    </row>
    <row r="891" spans="1:1" hidden="1" x14ac:dyDescent="0.2">
      <c r="A891" s="144">
        <v>0.89783892326801729</v>
      </c>
    </row>
    <row r="892" spans="1:1" hidden="1" x14ac:dyDescent="0.2">
      <c r="A892" s="394">
        <v>0.90264701452244234</v>
      </c>
    </row>
    <row r="893" spans="1:1" hidden="1" x14ac:dyDescent="0.2">
      <c r="A893" s="104">
        <v>0.90378686143836129</v>
      </c>
    </row>
    <row r="894" spans="1:1" hidden="1" x14ac:dyDescent="0.2">
      <c r="A894" s="104">
        <v>0.91059671815125265</v>
      </c>
    </row>
    <row r="895" spans="1:1" hidden="1" x14ac:dyDescent="0.2">
      <c r="A895" s="394">
        <v>0.91389511984557226</v>
      </c>
    </row>
    <row r="896" spans="1:1" hidden="1" x14ac:dyDescent="0.2">
      <c r="A896" s="394">
        <v>0.9226403850264</v>
      </c>
    </row>
    <row r="897" spans="1:1" hidden="1" x14ac:dyDescent="0.2">
      <c r="A897" s="394">
        <v>0.92345807314989026</v>
      </c>
    </row>
    <row r="898" spans="1:1" hidden="1" x14ac:dyDescent="0.2">
      <c r="A898" s="394">
        <v>0.93051101626160682</v>
      </c>
    </row>
    <row r="899" spans="1:1" hidden="1" x14ac:dyDescent="0.2">
      <c r="A899" s="104">
        <v>0.9346912314700675</v>
      </c>
    </row>
    <row r="900" spans="1:1" hidden="1" x14ac:dyDescent="0.2">
      <c r="A900" s="104">
        <v>0.93986607857188398</v>
      </c>
    </row>
    <row r="901" spans="1:1" hidden="1" x14ac:dyDescent="0.2">
      <c r="A901" s="394">
        <v>0.94162222627967163</v>
      </c>
    </row>
    <row r="902" spans="1:1" hidden="1" x14ac:dyDescent="0.2">
      <c r="A902" s="394">
        <v>0.94350857810401445</v>
      </c>
    </row>
    <row r="903" spans="1:1" hidden="1" x14ac:dyDescent="0.2">
      <c r="A903" s="104">
        <v>0.94356123039907169</v>
      </c>
    </row>
    <row r="904" spans="1:1" hidden="1" x14ac:dyDescent="0.2">
      <c r="A904" s="104">
        <v>0.94481076187815072</v>
      </c>
    </row>
    <row r="905" spans="1:1" hidden="1" x14ac:dyDescent="0.2">
      <c r="A905" s="394">
        <v>0.94924418451474546</v>
      </c>
    </row>
    <row r="906" spans="1:1" hidden="1" x14ac:dyDescent="0.2">
      <c r="A906" s="104">
        <v>0.95124944890110408</v>
      </c>
    </row>
    <row r="907" spans="1:1" hidden="1" x14ac:dyDescent="0.2">
      <c r="A907" s="394">
        <v>0.95190321688259738</v>
      </c>
    </row>
    <row r="908" spans="1:1" hidden="1" x14ac:dyDescent="0.2">
      <c r="A908" s="394">
        <v>0.9520441830046189</v>
      </c>
    </row>
    <row r="909" spans="1:1" hidden="1" x14ac:dyDescent="0.2">
      <c r="A909" s="394">
        <v>0.95225678957484172</v>
      </c>
    </row>
    <row r="910" spans="1:1" hidden="1" x14ac:dyDescent="0.2">
      <c r="A910" s="104">
        <v>0.97007425758053722</v>
      </c>
    </row>
    <row r="911" spans="1:1" hidden="1" x14ac:dyDescent="0.2">
      <c r="A911" s="104">
        <v>0.97839166620501539</v>
      </c>
    </row>
    <row r="912" spans="1:1" hidden="1" x14ac:dyDescent="0.2">
      <c r="A912" s="104">
        <v>0.97948867283405727</v>
      </c>
    </row>
    <row r="913" spans="1:1" hidden="1" x14ac:dyDescent="0.2">
      <c r="A913" s="394">
        <v>0.98196880000647235</v>
      </c>
    </row>
    <row r="914" spans="1:1" hidden="1" x14ac:dyDescent="0.2">
      <c r="A914" s="394">
        <v>0.98553865081166103</v>
      </c>
    </row>
    <row r="915" spans="1:1" hidden="1" x14ac:dyDescent="0.2">
      <c r="A915" s="104">
        <v>0.987808505371499</v>
      </c>
    </row>
    <row r="916" spans="1:1" hidden="1" x14ac:dyDescent="0.2">
      <c r="A916" s="394">
        <v>0.99203720890441582</v>
      </c>
    </row>
    <row r="917" spans="1:1" hidden="1" x14ac:dyDescent="0.2">
      <c r="A917" s="104">
        <v>0.99354192942328945</v>
      </c>
    </row>
    <row r="918" spans="1:1" hidden="1" x14ac:dyDescent="0.2">
      <c r="A918" s="394">
        <v>0.99458917064696672</v>
      </c>
    </row>
    <row r="919" spans="1:1" hidden="1" x14ac:dyDescent="0.2">
      <c r="A919" s="394">
        <v>0.99652683984924417</v>
      </c>
    </row>
    <row r="920" spans="1:1" hidden="1" x14ac:dyDescent="0.2">
      <c r="A920" s="104">
        <v>1.0038056237487738</v>
      </c>
    </row>
    <row r="921" spans="1:1" hidden="1" x14ac:dyDescent="0.2">
      <c r="A921" s="144">
        <v>1.0043980490342777</v>
      </c>
    </row>
    <row r="922" spans="1:1" hidden="1" x14ac:dyDescent="0.2">
      <c r="A922" s="104">
        <v>1.0091760658830418</v>
      </c>
    </row>
    <row r="923" spans="1:1" hidden="1" x14ac:dyDescent="0.2">
      <c r="A923" s="131">
        <v>1.0094723434557324</v>
      </c>
    </row>
    <row r="924" spans="1:1" hidden="1" x14ac:dyDescent="0.2">
      <c r="A924" s="131">
        <v>1.0105737850555472</v>
      </c>
    </row>
    <row r="925" spans="1:1" hidden="1" x14ac:dyDescent="0.2">
      <c r="A925" s="394">
        <v>1.0119188550939975</v>
      </c>
    </row>
    <row r="926" spans="1:1" hidden="1" x14ac:dyDescent="0.2">
      <c r="A926" s="104">
        <v>1.0181718184143471</v>
      </c>
    </row>
    <row r="927" spans="1:1" hidden="1" x14ac:dyDescent="0.2">
      <c r="A927" s="104">
        <v>1.0199710990735427</v>
      </c>
    </row>
    <row r="928" spans="1:1" hidden="1" x14ac:dyDescent="0.2">
      <c r="A928" s="104">
        <v>1.0254881831143536</v>
      </c>
    </row>
    <row r="929" spans="1:1" hidden="1" x14ac:dyDescent="0.2">
      <c r="A929" s="104">
        <v>1.0297064868253103</v>
      </c>
    </row>
    <row r="930" spans="1:1" hidden="1" x14ac:dyDescent="0.2">
      <c r="A930" s="104">
        <v>1.0340913673460137</v>
      </c>
    </row>
    <row r="931" spans="1:1" hidden="1" x14ac:dyDescent="0.2">
      <c r="A931" s="104">
        <v>1.0418439746668207</v>
      </c>
    </row>
    <row r="932" spans="1:1" hidden="1" x14ac:dyDescent="0.2">
      <c r="A932" s="394">
        <v>1.0446627816154774</v>
      </c>
    </row>
    <row r="933" spans="1:1" hidden="1" x14ac:dyDescent="0.2">
      <c r="A933" s="104">
        <v>1.0494462186819562</v>
      </c>
    </row>
    <row r="934" spans="1:1" hidden="1" x14ac:dyDescent="0.2">
      <c r="A934" s="104">
        <v>1.0582814280106896</v>
      </c>
    </row>
    <row r="935" spans="1:1" hidden="1" x14ac:dyDescent="0.2">
      <c r="A935" s="394">
        <v>1.0628998221469446</v>
      </c>
    </row>
    <row r="936" spans="1:1" hidden="1" x14ac:dyDescent="0.2">
      <c r="A936" s="394">
        <v>1.0639996388325152</v>
      </c>
    </row>
    <row r="937" spans="1:1" hidden="1" x14ac:dyDescent="0.2">
      <c r="A937" s="394">
        <v>1.064536149952803</v>
      </c>
    </row>
    <row r="938" spans="1:1" hidden="1" x14ac:dyDescent="0.2">
      <c r="A938" s="394">
        <v>1.0663609688269262</v>
      </c>
    </row>
    <row r="939" spans="1:1" hidden="1" x14ac:dyDescent="0.2">
      <c r="A939" s="394">
        <v>1.0667812378364538</v>
      </c>
    </row>
    <row r="940" spans="1:1" hidden="1" x14ac:dyDescent="0.2">
      <c r="A940" s="394">
        <v>1.0689415217883913</v>
      </c>
    </row>
    <row r="941" spans="1:1" hidden="1" x14ac:dyDescent="0.2">
      <c r="A941" s="144">
        <v>1.0795056687980975</v>
      </c>
    </row>
    <row r="942" spans="1:1" hidden="1" x14ac:dyDescent="0.2">
      <c r="A942" s="280">
        <v>1.0829416993426926</v>
      </c>
    </row>
    <row r="943" spans="1:1" hidden="1" x14ac:dyDescent="0.2">
      <c r="A943" s="394">
        <v>1.0835763394475806</v>
      </c>
    </row>
    <row r="944" spans="1:1" hidden="1" x14ac:dyDescent="0.2">
      <c r="A944" s="394">
        <v>1.0847932069948159</v>
      </c>
    </row>
    <row r="945" spans="1:1" hidden="1" x14ac:dyDescent="0.2">
      <c r="A945" s="104">
        <v>1.0898092976887797</v>
      </c>
    </row>
    <row r="946" spans="1:1" hidden="1" x14ac:dyDescent="0.2">
      <c r="A946" s="394">
        <v>1.1113524317622727</v>
      </c>
    </row>
    <row r="947" spans="1:1" hidden="1" x14ac:dyDescent="0.2">
      <c r="A947" s="394">
        <v>1.114719158860384</v>
      </c>
    </row>
    <row r="948" spans="1:1" hidden="1" x14ac:dyDescent="0.2">
      <c r="A948" s="394">
        <v>1.1217870834372285</v>
      </c>
    </row>
    <row r="949" spans="1:1" hidden="1" x14ac:dyDescent="0.2">
      <c r="A949" s="394">
        <v>1.1300472177538432</v>
      </c>
    </row>
    <row r="950" spans="1:1" hidden="1" x14ac:dyDescent="0.2">
      <c r="A950" s="104">
        <v>1.141930859934162</v>
      </c>
    </row>
    <row r="951" spans="1:1" hidden="1" x14ac:dyDescent="0.2">
      <c r="A951" s="394">
        <v>1.1613398722662738</v>
      </c>
    </row>
    <row r="952" spans="1:1" hidden="1" x14ac:dyDescent="0.2">
      <c r="A952" s="137">
        <v>1.1667709436662528</v>
      </c>
    </row>
    <row r="953" spans="1:1" hidden="1" x14ac:dyDescent="0.2">
      <c r="A953" s="104">
        <v>1.1677000382120633</v>
      </c>
    </row>
    <row r="954" spans="1:1" hidden="1" x14ac:dyDescent="0.2">
      <c r="A954" s="104">
        <v>1.1790630029457057</v>
      </c>
    </row>
    <row r="955" spans="1:1" hidden="1" x14ac:dyDescent="0.2">
      <c r="A955" s="394">
        <v>1.1803702368303797</v>
      </c>
    </row>
    <row r="956" spans="1:1" hidden="1" x14ac:dyDescent="0.2">
      <c r="A956" s="104">
        <v>1.2196885927649412</v>
      </c>
    </row>
    <row r="957" spans="1:1" hidden="1" x14ac:dyDescent="0.2">
      <c r="A957" s="394">
        <v>1.2217715212415485</v>
      </c>
    </row>
    <row r="958" spans="1:1" hidden="1" x14ac:dyDescent="0.2">
      <c r="A958" s="394">
        <v>1.2224858597245878</v>
      </c>
    </row>
    <row r="959" spans="1:1" hidden="1" x14ac:dyDescent="0.2">
      <c r="A959" s="394">
        <v>1.2267764243510464</v>
      </c>
    </row>
    <row r="960" spans="1:1" hidden="1" x14ac:dyDescent="0.2">
      <c r="A960" s="394">
        <v>1.2278734864511436</v>
      </c>
    </row>
    <row r="961" spans="1:1" hidden="1" x14ac:dyDescent="0.2">
      <c r="A961" s="394">
        <v>1.2451880752039295</v>
      </c>
    </row>
    <row r="962" spans="1:1" hidden="1" x14ac:dyDescent="0.2">
      <c r="A962" s="144">
        <v>1.2495374112088293</v>
      </c>
    </row>
    <row r="963" spans="1:1" hidden="1" x14ac:dyDescent="0.2">
      <c r="A963" s="104">
        <v>1.2524641594968693</v>
      </c>
    </row>
    <row r="964" spans="1:1" hidden="1" x14ac:dyDescent="0.2">
      <c r="A964" s="394">
        <v>1.2589674800138106</v>
      </c>
    </row>
    <row r="965" spans="1:1" hidden="1" x14ac:dyDescent="0.2">
      <c r="A965" s="394">
        <v>1.2619882111677385</v>
      </c>
    </row>
    <row r="966" spans="1:1" hidden="1" x14ac:dyDescent="0.2">
      <c r="A966" s="104">
        <v>1.2853867146586411</v>
      </c>
    </row>
    <row r="967" spans="1:1" hidden="1" x14ac:dyDescent="0.2">
      <c r="A967" s="104">
        <v>1.2862354425640015</v>
      </c>
    </row>
    <row r="968" spans="1:1" hidden="1" x14ac:dyDescent="0.2">
      <c r="A968" s="104">
        <v>1.2901230107785033</v>
      </c>
    </row>
    <row r="969" spans="1:1" hidden="1" x14ac:dyDescent="0.2">
      <c r="A969" s="394">
        <v>1.3025263574288553</v>
      </c>
    </row>
    <row r="970" spans="1:1" hidden="1" x14ac:dyDescent="0.2">
      <c r="A970" s="104">
        <v>1.3071491586776411</v>
      </c>
    </row>
    <row r="971" spans="1:1" hidden="1" x14ac:dyDescent="0.2">
      <c r="A971" s="104">
        <v>1.335721194844949</v>
      </c>
    </row>
    <row r="972" spans="1:1" hidden="1" x14ac:dyDescent="0.2">
      <c r="A972" s="104">
        <v>1.345412247628945</v>
      </c>
    </row>
    <row r="973" spans="1:1" hidden="1" x14ac:dyDescent="0.2">
      <c r="A973" s="394">
        <v>1.3503221874470932</v>
      </c>
    </row>
    <row r="974" spans="1:1" hidden="1" x14ac:dyDescent="0.2">
      <c r="A974" s="104">
        <v>1.3544119265031598</v>
      </c>
    </row>
    <row r="975" spans="1:1" hidden="1" x14ac:dyDescent="0.2">
      <c r="A975" s="104">
        <v>1.3610062894884813</v>
      </c>
    </row>
    <row r="976" spans="1:1" hidden="1" x14ac:dyDescent="0.2">
      <c r="A976" s="394">
        <v>1.3617427277250429</v>
      </c>
    </row>
    <row r="977" spans="1:1" hidden="1" x14ac:dyDescent="0.2">
      <c r="A977" s="394">
        <v>1.3690359759825719</v>
      </c>
    </row>
    <row r="978" spans="1:1" hidden="1" x14ac:dyDescent="0.2">
      <c r="A978" s="104">
        <v>1.3719330602989133</v>
      </c>
    </row>
    <row r="979" spans="1:1" hidden="1" x14ac:dyDescent="0.2">
      <c r="A979" s="394">
        <v>1.3813726436565354</v>
      </c>
    </row>
    <row r="980" spans="1:1" hidden="1" x14ac:dyDescent="0.2">
      <c r="A980" s="394">
        <v>1.3965985507952703</v>
      </c>
    </row>
    <row r="981" spans="1:1" hidden="1" x14ac:dyDescent="0.2">
      <c r="A981" s="280">
        <v>1.4446737446938109</v>
      </c>
    </row>
    <row r="982" spans="1:1" hidden="1" x14ac:dyDescent="0.2">
      <c r="A982" s="104">
        <v>1.4792002098219386</v>
      </c>
    </row>
    <row r="983" spans="1:1" hidden="1" x14ac:dyDescent="0.2">
      <c r="A983" s="104">
        <v>1.4985378019277129</v>
      </c>
    </row>
    <row r="984" spans="1:1" hidden="1" x14ac:dyDescent="0.2">
      <c r="A984" s="104">
        <v>1.5217535499900792</v>
      </c>
    </row>
    <row r="985" spans="1:1" hidden="1" x14ac:dyDescent="0.2">
      <c r="A985" s="394">
        <v>1.5244765747462723</v>
      </c>
    </row>
    <row r="986" spans="1:1" hidden="1" x14ac:dyDescent="0.2">
      <c r="A986" s="104">
        <v>1.5342591185410783</v>
      </c>
    </row>
    <row r="987" spans="1:1" hidden="1" x14ac:dyDescent="0.2">
      <c r="A987" s="394">
        <v>1.537463308158769</v>
      </c>
    </row>
    <row r="988" spans="1:1" hidden="1" x14ac:dyDescent="0.2">
      <c r="A988" s="104">
        <v>1.5698287554606467</v>
      </c>
    </row>
    <row r="989" spans="1:1" hidden="1" x14ac:dyDescent="0.2">
      <c r="A989" s="104">
        <v>1.5824910622538888</v>
      </c>
    </row>
    <row r="990" spans="1:1" hidden="1" x14ac:dyDescent="0.2">
      <c r="A990" s="394">
        <v>1.5914090896626853</v>
      </c>
    </row>
    <row r="991" spans="1:1" hidden="1" x14ac:dyDescent="0.2">
      <c r="A991" s="104">
        <v>1.6111088277641898</v>
      </c>
    </row>
    <row r="992" spans="1:1" hidden="1" x14ac:dyDescent="0.2">
      <c r="A992" s="394">
        <v>1.6121747051954878</v>
      </c>
    </row>
    <row r="993" spans="1:1" hidden="1" x14ac:dyDescent="0.2">
      <c r="A993" s="394">
        <v>1.6258932689927108</v>
      </c>
    </row>
    <row r="994" spans="1:1" hidden="1" x14ac:dyDescent="0.2">
      <c r="A994" s="144">
        <v>1.6651847582547128</v>
      </c>
    </row>
    <row r="995" spans="1:1" hidden="1" x14ac:dyDescent="0.2">
      <c r="A995" s="394">
        <v>1.6899168344290723</v>
      </c>
    </row>
    <row r="996" spans="1:1" hidden="1" x14ac:dyDescent="0.2">
      <c r="A996" s="394">
        <v>1.7641793368981866</v>
      </c>
    </row>
    <row r="997" spans="1:1" hidden="1" x14ac:dyDescent="0.2">
      <c r="A997" s="104">
        <v>1.7831836987920355</v>
      </c>
    </row>
    <row r="998" spans="1:1" hidden="1" x14ac:dyDescent="0.2">
      <c r="A998" s="280">
        <v>1.8485354632340099</v>
      </c>
    </row>
    <row r="999" spans="1:1" hidden="1" x14ac:dyDescent="0.2">
      <c r="A999" s="394">
        <v>1.8761984993748784</v>
      </c>
    </row>
    <row r="1000" spans="1:1" hidden="1" x14ac:dyDescent="0.2">
      <c r="A1000" s="394">
        <v>2.3941810662023486</v>
      </c>
    </row>
    <row r="1001" spans="1:1" hidden="1" x14ac:dyDescent="0.2">
      <c r="A1001" s="104">
        <v>2.3182982149518403</v>
      </c>
    </row>
  </sheetData>
  <sheetProtection algorithmName="SHA-512" hashValue="FqRPiuELwHTjLIx/13sp7pTs6lbj6fEEPcXFpmfkGeTreA08JDAyI4ChdFQSJgxrU2o0N0FfykCU6jQHeHvtRw==" saltValue="pEcX8DpER6FjUomxqLJMaw==" spinCount="100000" sheet="1" objects="1" scenarios="1" selectLockedCells="1"/>
  <sortState xmlns:xlrd2="http://schemas.microsoft.com/office/spreadsheetml/2017/richdata2" ref="A1:A1000">
    <sortCondition ref="A1"/>
  </sortState>
  <mergeCells count="61">
    <mergeCell ref="H2:M2"/>
    <mergeCell ref="P15:P21"/>
    <mergeCell ref="P13:T14"/>
    <mergeCell ref="Q18:R18"/>
    <mergeCell ref="T18:T20"/>
    <mergeCell ref="Q2:S2"/>
    <mergeCell ref="Q15:R15"/>
    <mergeCell ref="P4:P11"/>
    <mergeCell ref="Q4:R4"/>
    <mergeCell ref="Q5:R5"/>
    <mergeCell ref="Q6:R6"/>
    <mergeCell ref="Q7:R7"/>
    <mergeCell ref="Q12:R12"/>
    <mergeCell ref="L4:M4"/>
    <mergeCell ref="L5:L6"/>
    <mergeCell ref="M5:M6"/>
    <mergeCell ref="B2:C2"/>
    <mergeCell ref="H11:K11"/>
    <mergeCell ref="I16:K16"/>
    <mergeCell ref="B11:B12"/>
    <mergeCell ref="B7:B10"/>
    <mergeCell ref="B4:F4"/>
    <mergeCell ref="B13:B14"/>
    <mergeCell ref="I4:K4"/>
    <mergeCell ref="I13:K13"/>
    <mergeCell ref="C7:D7"/>
    <mergeCell ref="C8:D8"/>
    <mergeCell ref="C9:D9"/>
    <mergeCell ref="C13:D13"/>
    <mergeCell ref="C14:D14"/>
    <mergeCell ref="C10:D10"/>
    <mergeCell ref="C11:D11"/>
    <mergeCell ref="T57:U57"/>
    <mergeCell ref="B55:E57"/>
    <mergeCell ref="R56:Z56"/>
    <mergeCell ref="B25:E25"/>
    <mergeCell ref="C44:D44"/>
    <mergeCell ref="I57:J57"/>
    <mergeCell ref="C52:D52"/>
    <mergeCell ref="I56:K56"/>
    <mergeCell ref="C51:D51"/>
    <mergeCell ref="C48:D48"/>
    <mergeCell ref="C36:D36"/>
    <mergeCell ref="C41:D41"/>
    <mergeCell ref="C45:D45"/>
    <mergeCell ref="C46:D46"/>
    <mergeCell ref="C47:D47"/>
    <mergeCell ref="C27:D27"/>
    <mergeCell ref="Q8:R8"/>
    <mergeCell ref="Q9:R9"/>
    <mergeCell ref="Q10:R10"/>
    <mergeCell ref="Q11:R11"/>
    <mergeCell ref="C50:D50"/>
    <mergeCell ref="Q22:R22"/>
    <mergeCell ref="I17:K17"/>
    <mergeCell ref="C12:D12"/>
    <mergeCell ref="I14:K14"/>
    <mergeCell ref="C16:D16"/>
    <mergeCell ref="C30:D30"/>
    <mergeCell ref="C42:D42"/>
    <mergeCell ref="Q19:R19"/>
  </mergeCells>
  <dataValidations count="1">
    <dataValidation type="list" allowBlank="1" showInputMessage="1" showErrorMessage="1" sqref="U58" xr:uid="{B041F7BD-C246-6A48-89C6-5CEFBF036046}">
      <formula1>"Day(s), Month(s), Year(s)"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Strategy">
                <anchor moveWithCells="1" sizeWithCells="1">
                  <from>
                    <xdr:col>8</xdr:col>
                    <xdr:colOff>101600</xdr:colOff>
                    <xdr:row>4</xdr:row>
                    <xdr:rowOff>50800</xdr:rowOff>
                  </from>
                  <to>
                    <xdr:col>10</xdr:col>
                    <xdr:colOff>762000</xdr:colOff>
                    <xdr:row>8</xdr:row>
                    <xdr:rowOff>152400</xdr:rowOff>
                  </to>
                </anchor>
              </controlPr>
            </control>
          </mc:Choice>
        </mc:AlternateContent>
        <mc:AlternateContent xmlns:mc="http://schemas.openxmlformats.org/markup-compatibility/2006">
          <mc:Choice Requires="x14">
            <control shapeId="2050" r:id="rId4" name="Button 2">
              <controlPr defaultSize="0" print="0" autoFill="0" autoPict="0" macro="[0]!_xludf.Clear">
                <anchor moveWithCells="1" sizeWithCells="1">
                  <from>
                    <xdr:col>11</xdr:col>
                    <xdr:colOff>50800</xdr:colOff>
                    <xdr:row>6</xdr:row>
                    <xdr:rowOff>50800</xdr:rowOff>
                  </from>
                  <to>
                    <xdr:col>12</xdr:col>
                    <xdr:colOff>749300</xdr:colOff>
                    <xdr:row>8</xdr:row>
                    <xdr:rowOff>101600</xdr:rowOff>
                  </to>
                </anchor>
              </controlPr>
            </control>
          </mc:Choice>
        </mc:AlternateContent>
        <mc:AlternateContent xmlns:mc="http://schemas.openxmlformats.org/markup-compatibility/2006">
          <mc:Choice Requires="x14">
            <control shapeId="2052" r:id="rId5" name="Button 4">
              <controlPr defaultSize="0" print="0" autoFill="0" autoPict="0" macro="[0]!Calculate">
                <anchor moveWithCells="1" sizeWithCells="1">
                  <from>
                    <xdr:col>2</xdr:col>
                    <xdr:colOff>12700</xdr:colOff>
                    <xdr:row>39</xdr:row>
                    <xdr:rowOff>850900</xdr:rowOff>
                  </from>
                  <to>
                    <xdr:col>5</xdr:col>
                    <xdr:colOff>0</xdr:colOff>
                    <xdr:row>39</xdr:row>
                    <xdr:rowOff>1295400</xdr:rowOff>
                  </to>
                </anchor>
              </controlPr>
            </control>
          </mc:Choice>
        </mc:AlternateContent>
        <mc:AlternateContent xmlns:mc="http://schemas.openxmlformats.org/markup-compatibility/2006">
          <mc:Choice Requires="x14">
            <control shapeId="2053" r:id="rId6" name="Button 5">
              <controlPr defaultSize="0" print="0" autoFill="0" autoPict="0" macro="[0]!Replicate2">
                <anchor moveWithCells="1" sizeWithCells="1">
                  <from>
                    <xdr:col>2</xdr:col>
                    <xdr:colOff>101600</xdr:colOff>
                    <xdr:row>39</xdr:row>
                    <xdr:rowOff>38100</xdr:rowOff>
                  </from>
                  <to>
                    <xdr:col>3</xdr:col>
                    <xdr:colOff>698500</xdr:colOff>
                    <xdr:row>39</xdr:row>
                    <xdr:rowOff>546100</xdr:rowOff>
                  </to>
                </anchor>
              </controlPr>
            </control>
          </mc:Choice>
        </mc:AlternateContent>
        <mc:AlternateContent xmlns:mc="http://schemas.openxmlformats.org/markup-compatibility/2006">
          <mc:Choice Requires="x14">
            <control shapeId="2054" r:id="rId7" name="Button 6">
              <controlPr defaultSize="0" print="0" autoFill="0" autoPict="0" macro="[0]!Plot">
                <anchor moveWithCells="1" sizeWithCells="1">
                  <from>
                    <xdr:col>11</xdr:col>
                    <xdr:colOff>406400</xdr:colOff>
                    <xdr:row>55</xdr:row>
                    <xdr:rowOff>12700</xdr:rowOff>
                  </from>
                  <to>
                    <xdr:col>16</xdr:col>
                    <xdr:colOff>190500</xdr:colOff>
                    <xdr:row>57</xdr:row>
                    <xdr:rowOff>342900</xdr:rowOff>
                  </to>
                </anchor>
              </controlPr>
            </control>
          </mc:Choice>
        </mc:AlternateContent>
        <mc:AlternateContent xmlns:mc="http://schemas.openxmlformats.org/markup-compatibility/2006">
          <mc:Choice Requires="x14">
            <control shapeId="2055" r:id="rId8" name="Button 7">
              <controlPr defaultSize="0" print="0" autoFill="0" autoPict="0" macro="[0]!DefaultBS">
                <anchor moveWithCells="1" sizeWithCells="1">
                  <from>
                    <xdr:col>3</xdr:col>
                    <xdr:colOff>774700</xdr:colOff>
                    <xdr:row>39</xdr:row>
                    <xdr:rowOff>38100</xdr:rowOff>
                  </from>
                  <to>
                    <xdr:col>5</xdr:col>
                    <xdr:colOff>63500</xdr:colOff>
                    <xdr:row>39</xdr:row>
                    <xdr:rowOff>546100</xdr:rowOff>
                  </to>
                </anchor>
              </controlPr>
            </control>
          </mc:Choice>
        </mc:AlternateContent>
        <mc:AlternateContent xmlns:mc="http://schemas.openxmlformats.org/markup-compatibility/2006">
          <mc:Choice Requires="x14">
            <control shapeId="2073" r:id="rId9" name="Button 25">
              <controlPr defaultSize="0" print="0" autoFill="0" autoPict="0" macro="[0]!IncreaseT">
                <anchor moveWithCells="1" sizeWithCells="1">
                  <from>
                    <xdr:col>21</xdr:col>
                    <xdr:colOff>165100</xdr:colOff>
                    <xdr:row>56</xdr:row>
                    <xdr:rowOff>50800</xdr:rowOff>
                  </from>
                  <to>
                    <xdr:col>21</xdr:col>
                    <xdr:colOff>952500</xdr:colOff>
                    <xdr:row>56</xdr:row>
                    <xdr:rowOff>406400</xdr:rowOff>
                  </to>
                </anchor>
              </controlPr>
            </control>
          </mc:Choice>
        </mc:AlternateContent>
        <mc:AlternateContent xmlns:mc="http://schemas.openxmlformats.org/markup-compatibility/2006">
          <mc:Choice Requires="x14">
            <control shapeId="2074" r:id="rId10" name="Button 26">
              <controlPr defaultSize="0" print="0" autoFill="0" autoPict="0" macro="[0]!DecreaseT">
                <anchor moveWithCells="1" sizeWithCells="1">
                  <from>
                    <xdr:col>21</xdr:col>
                    <xdr:colOff>177800</xdr:colOff>
                    <xdr:row>57</xdr:row>
                    <xdr:rowOff>63500</xdr:rowOff>
                  </from>
                  <to>
                    <xdr:col>21</xdr:col>
                    <xdr:colOff>952500</xdr:colOff>
                    <xdr:row>57</xdr:row>
                    <xdr:rowOff>419100</xdr:rowOff>
                  </to>
                </anchor>
              </controlPr>
            </control>
          </mc:Choice>
        </mc:AlternateContent>
        <mc:AlternateContent xmlns:mc="http://schemas.openxmlformats.org/markup-compatibility/2006">
          <mc:Choice Requires="x14">
            <control shapeId="2080" r:id="rId11" name="Button 32">
              <controlPr defaultSize="0" print="0" autoFill="0" autoPict="0" macro="[0]!ResetT">
                <anchor moveWithCells="1" sizeWithCells="1">
                  <from>
                    <xdr:col>25</xdr:col>
                    <xdr:colOff>38100</xdr:colOff>
                    <xdr:row>56</xdr:row>
                    <xdr:rowOff>63500</xdr:rowOff>
                  </from>
                  <to>
                    <xdr:col>25</xdr:col>
                    <xdr:colOff>977900</xdr:colOff>
                    <xdr:row>57</xdr:row>
                    <xdr:rowOff>304800</xdr:rowOff>
                  </to>
                </anchor>
              </controlPr>
            </control>
          </mc:Choice>
        </mc:AlternateContent>
        <mc:AlternateContent xmlns:mc="http://schemas.openxmlformats.org/markup-compatibility/2006">
          <mc:Choice Requires="x14">
            <control shapeId="2051" r:id="rId12" name="Button 3">
              <controlPr defaultSize="0" print="0" autoFill="0" autoPict="0" macro="[0]!Replicate">
                <anchor moveWithCells="1" sizeWithCells="1">
                  <from>
                    <xdr:col>2</xdr:col>
                    <xdr:colOff>88900</xdr:colOff>
                    <xdr:row>34</xdr:row>
                    <xdr:rowOff>63500</xdr:rowOff>
                  </from>
                  <to>
                    <xdr:col>3</xdr:col>
                    <xdr:colOff>698500</xdr:colOff>
                    <xdr:row>34</xdr:row>
                    <xdr:rowOff>508000</xdr:rowOff>
                  </to>
                </anchor>
              </controlPr>
            </control>
          </mc:Choice>
        </mc:AlternateContent>
        <mc:AlternateContent xmlns:mc="http://schemas.openxmlformats.org/markup-compatibility/2006">
          <mc:Choice Requires="x14">
            <control shapeId="2133" r:id="rId13" name="Button 85">
              <controlPr defaultSize="0" print="0" autoFill="0" autoPict="0" macro="[0]!UseDefaultStrat">
                <anchor moveWithCells="1" sizeWithCells="1">
                  <from>
                    <xdr:col>11</xdr:col>
                    <xdr:colOff>63500</xdr:colOff>
                    <xdr:row>11</xdr:row>
                    <xdr:rowOff>114300</xdr:rowOff>
                  </from>
                  <to>
                    <xdr:col>13</xdr:col>
                    <xdr:colOff>190500</xdr:colOff>
                    <xdr:row>14</xdr:row>
                    <xdr:rowOff>139700</xdr:rowOff>
                  </to>
                </anchor>
              </controlPr>
            </control>
          </mc:Choice>
        </mc:AlternateContent>
        <mc:AlternateContent xmlns:mc="http://schemas.openxmlformats.org/markup-compatibility/2006">
          <mc:Choice Requires="x14">
            <control shapeId="2152" r:id="rId14" name="Button 104">
              <controlPr defaultSize="0" print="0" autoFill="0" autoPict="0" macro="[0]!SaveStrategy">
                <anchor moveWithCells="1" sizeWithCells="1">
                  <from>
                    <xdr:col>11</xdr:col>
                    <xdr:colOff>63500</xdr:colOff>
                    <xdr:row>14</xdr:row>
                    <xdr:rowOff>177800</xdr:rowOff>
                  </from>
                  <to>
                    <xdr:col>13</xdr:col>
                    <xdr:colOff>190500</xdr:colOff>
                    <xdr:row>17</xdr:row>
                    <xdr:rowOff>114300</xdr:rowOff>
                  </to>
                </anchor>
              </controlPr>
            </control>
          </mc:Choice>
        </mc:AlternateContent>
        <mc:AlternateContent xmlns:mc="http://schemas.openxmlformats.org/markup-compatibility/2006">
          <mc:Choice Requires="x14">
            <control shapeId="2171" r:id="rId15" name="Button 123">
              <controlPr defaultSize="0" print="0" autoFill="0" autoPict="0" macro="[0]!DeleteExistingStrat">
                <anchor moveWithCells="1" sizeWithCells="1">
                  <from>
                    <xdr:col>13</xdr:col>
                    <xdr:colOff>342900</xdr:colOff>
                    <xdr:row>12</xdr:row>
                    <xdr:rowOff>177800</xdr:rowOff>
                  </from>
                  <to>
                    <xdr:col>13</xdr:col>
                    <xdr:colOff>1473200</xdr:colOff>
                    <xdr:row>15</xdr:row>
                    <xdr:rowOff>88900</xdr:rowOff>
                  </to>
                </anchor>
              </controlPr>
            </control>
          </mc:Choice>
        </mc:AlternateContent>
        <mc:AlternateContent xmlns:mc="http://schemas.openxmlformats.org/markup-compatibility/2006">
          <mc:Choice Requires="x14">
            <control shapeId="2189" r:id="rId16" name="Button 141">
              <controlPr defaultSize="0" print="0" autoFill="0" autoPict="0" macro="[0]!SwitchStrat">
                <anchor moveWithCells="1" sizeWithCells="1">
                  <from>
                    <xdr:col>6</xdr:col>
                    <xdr:colOff>368300</xdr:colOff>
                    <xdr:row>24</xdr:row>
                    <xdr:rowOff>76200</xdr:rowOff>
                  </from>
                  <to>
                    <xdr:col>9</xdr:col>
                    <xdr:colOff>139700</xdr:colOff>
                    <xdr:row>25</xdr:row>
                    <xdr:rowOff>38100</xdr:rowOff>
                  </to>
                </anchor>
              </controlPr>
            </control>
          </mc:Choice>
        </mc:AlternateContent>
        <mc:AlternateContent xmlns:mc="http://schemas.openxmlformats.org/markup-compatibility/2006">
          <mc:Choice Requires="x14">
            <control shapeId="2210" r:id="rId17" name="Button 162">
              <controlPr defaultSize="0" print="0" autoFill="0" autoPict="0" macro="[0]!MonteCarloSimulation">
                <anchor moveWithCells="1" sizeWithCells="1">
                  <from>
                    <xdr:col>19</xdr:col>
                    <xdr:colOff>50800</xdr:colOff>
                    <xdr:row>14</xdr:row>
                    <xdr:rowOff>50800</xdr:rowOff>
                  </from>
                  <to>
                    <xdr:col>19</xdr:col>
                    <xdr:colOff>876300</xdr:colOff>
                    <xdr:row>16</xdr:row>
                    <xdr:rowOff>190500</xdr:rowOff>
                  </to>
                </anchor>
              </controlPr>
            </control>
          </mc:Choice>
        </mc:AlternateContent>
        <mc:AlternateContent xmlns:mc="http://schemas.openxmlformats.org/markup-compatibility/2006">
          <mc:Choice Requires="x14">
            <control shapeId="2223" r:id="rId18" name="Button 175">
              <controlPr defaultSize="0" print="0" autoFill="0" autoPict="0" macro="[0]!ModifyChart">
                <anchor moveWithCells="1" sizeWithCells="1">
                  <from>
                    <xdr:col>19</xdr:col>
                    <xdr:colOff>63500</xdr:colOff>
                    <xdr:row>19</xdr:row>
                    <xdr:rowOff>203200</xdr:rowOff>
                  </from>
                  <to>
                    <xdr:col>19</xdr:col>
                    <xdr:colOff>876300</xdr:colOff>
                    <xdr:row>22</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116D3025-FCBC-7649-8B11-0D32FC6368A3}">
          <x14:formula1>
            <xm:f>'Default &amp; Saved Strategies'!$A:$A</xm:f>
          </x14:formula1>
          <xm:sqref>I14:K14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5AE9B-7B38-C14F-A225-CF2D0AB47037}">
  <sheetPr codeName="Sheet4"/>
  <dimension ref="A1:R444"/>
  <sheetViews>
    <sheetView showGridLines="0" zoomScale="86" workbookViewId="0"/>
  </sheetViews>
  <sheetFormatPr baseColWidth="10" defaultRowHeight="16" x14ac:dyDescent="0.2"/>
  <cols>
    <col min="1" max="1" width="22.33203125" style="155" bestFit="1" customWidth="1"/>
    <col min="2" max="2" width="17.6640625" style="195" bestFit="1" customWidth="1"/>
    <col min="3" max="3" width="17.6640625" style="196" customWidth="1"/>
    <col min="4" max="4" width="10.83203125" style="208"/>
    <col min="5" max="5" width="22.33203125" style="208" bestFit="1" customWidth="1"/>
    <col min="6" max="6" width="27.83203125" style="285" bestFit="1" customWidth="1"/>
    <col min="7" max="7" width="10.83203125" style="285"/>
    <col min="8" max="16384" width="10.83203125" style="155"/>
  </cols>
  <sheetData>
    <row r="1" spans="1:18" s="132" customFormat="1" x14ac:dyDescent="0.2">
      <c r="A1" s="155" t="s">
        <v>114</v>
      </c>
      <c r="B1" s="195"/>
      <c r="C1" s="282"/>
      <c r="D1" s="208"/>
      <c r="P1" s="182"/>
      <c r="Q1" s="182"/>
      <c r="R1" s="182"/>
    </row>
    <row r="2" spans="1:18" s="132" customFormat="1" x14ac:dyDescent="0.2">
      <c r="A2" s="155" t="s">
        <v>60</v>
      </c>
      <c r="B2" s="195"/>
      <c r="C2" s="555" t="s">
        <v>758</v>
      </c>
      <c r="D2" s="555"/>
      <c r="E2" s="555"/>
      <c r="F2" s="555"/>
      <c r="P2" s="182"/>
      <c r="Q2" s="182"/>
      <c r="R2" s="182"/>
    </row>
    <row r="3" spans="1:18" s="132" customFormat="1" x14ac:dyDescent="0.2">
      <c r="A3" s="155" t="s">
        <v>63</v>
      </c>
      <c r="B3" s="195"/>
      <c r="C3" s="555"/>
      <c r="D3" s="555"/>
      <c r="E3" s="555"/>
      <c r="F3" s="555"/>
      <c r="P3" s="182"/>
      <c r="Q3" s="182"/>
      <c r="R3" s="182"/>
    </row>
    <row r="4" spans="1:18" s="132" customFormat="1" x14ac:dyDescent="0.2">
      <c r="A4" s="155" t="s">
        <v>88</v>
      </c>
      <c r="B4" s="195"/>
      <c r="C4" s="555"/>
      <c r="D4" s="555"/>
      <c r="E4" s="555"/>
      <c r="F4" s="555"/>
      <c r="P4" s="182"/>
      <c r="Q4" s="182"/>
      <c r="R4" s="182"/>
    </row>
    <row r="5" spans="1:18" s="132" customFormat="1" x14ac:dyDescent="0.2">
      <c r="A5" s="155" t="s">
        <v>89</v>
      </c>
      <c r="B5" s="195"/>
      <c r="C5" s="282"/>
      <c r="D5" s="208"/>
      <c r="P5" s="182"/>
      <c r="Q5" s="182"/>
      <c r="R5" s="182"/>
    </row>
    <row r="6" spans="1:18" s="132" customFormat="1" ht="17" thickBot="1" x14ac:dyDescent="0.25">
      <c r="A6" s="155" t="s">
        <v>90</v>
      </c>
      <c r="B6" s="195"/>
      <c r="C6" s="282"/>
      <c r="D6" s="208"/>
      <c r="P6" s="182"/>
      <c r="Q6" s="182"/>
      <c r="R6" s="182"/>
    </row>
    <row r="7" spans="1:18" s="132" customFormat="1" ht="20" thickBot="1" x14ac:dyDescent="0.3">
      <c r="A7" s="155" t="s">
        <v>91</v>
      </c>
      <c r="B7" s="491" t="s">
        <v>133</v>
      </c>
      <c r="C7" s="527"/>
      <c r="D7" s="522"/>
      <c r="E7" s="197">
        <f>COUNTA(B:B)-2</f>
        <v>31</v>
      </c>
      <c r="P7" s="182"/>
      <c r="Q7" s="182"/>
      <c r="R7" s="182"/>
    </row>
    <row r="8" spans="1:18" s="127" customFormat="1" ht="17" thickBot="1" x14ac:dyDescent="0.25">
      <c r="A8" s="123" t="s">
        <v>92</v>
      </c>
      <c r="B8" s="198"/>
      <c r="C8" s="283"/>
      <c r="D8" s="209"/>
      <c r="E8" s="182"/>
      <c r="F8" s="199"/>
      <c r="K8" s="201"/>
      <c r="L8" s="201"/>
      <c r="M8" s="182"/>
      <c r="N8" s="182"/>
      <c r="P8" s="202"/>
      <c r="Q8" s="202"/>
      <c r="R8" s="139"/>
    </row>
    <row r="9" spans="1:18" s="127" customFormat="1" ht="20" thickBot="1" x14ac:dyDescent="0.25">
      <c r="A9" s="123" t="s">
        <v>93</v>
      </c>
      <c r="B9" s="120" t="s">
        <v>132</v>
      </c>
      <c r="C9" s="284"/>
      <c r="D9" s="209"/>
      <c r="E9" s="120" t="s">
        <v>124</v>
      </c>
      <c r="F9" s="199"/>
      <c r="K9" s="201"/>
      <c r="L9" s="201"/>
      <c r="M9" s="182"/>
      <c r="N9" s="182"/>
      <c r="P9" s="202"/>
      <c r="Q9" s="202"/>
      <c r="R9" s="139"/>
    </row>
    <row r="10" spans="1:18" s="132" customFormat="1" ht="17" thickBot="1" x14ac:dyDescent="0.25">
      <c r="A10" s="155" t="s">
        <v>94</v>
      </c>
      <c r="B10" s="195"/>
      <c r="C10" s="282"/>
      <c r="D10" s="208"/>
      <c r="H10" s="127" t="s">
        <v>40</v>
      </c>
      <c r="I10" s="127" t="s">
        <v>40</v>
      </c>
      <c r="J10" s="127" t="s">
        <v>40</v>
      </c>
      <c r="K10" s="127" t="s">
        <v>40</v>
      </c>
      <c r="L10" s="127" t="s">
        <v>40</v>
      </c>
      <c r="M10" s="127" t="s">
        <v>40</v>
      </c>
      <c r="N10" s="127" t="s">
        <v>40</v>
      </c>
      <c r="O10" s="127" t="s">
        <v>40</v>
      </c>
      <c r="P10" s="127" t="s">
        <v>40</v>
      </c>
      <c r="Q10" s="127" t="s">
        <v>40</v>
      </c>
    </row>
    <row r="11" spans="1:18" s="132" customFormat="1" ht="17" thickBot="1" x14ac:dyDescent="0.25">
      <c r="A11" s="155" t="s">
        <v>62</v>
      </c>
      <c r="B11" s="195">
        <v>1</v>
      </c>
      <c r="C11" s="203"/>
      <c r="D11" s="204"/>
      <c r="E11" s="205" t="s">
        <v>60</v>
      </c>
      <c r="F11" s="523" t="s">
        <v>155</v>
      </c>
      <c r="G11" s="524"/>
      <c r="H11" s="277">
        <v>1</v>
      </c>
      <c r="I11" s="127" t="s">
        <v>40</v>
      </c>
      <c r="J11" s="127" t="s">
        <v>40</v>
      </c>
      <c r="K11" s="127" t="s">
        <v>40</v>
      </c>
      <c r="L11" s="127" t="s">
        <v>40</v>
      </c>
      <c r="M11" s="127" t="s">
        <v>40</v>
      </c>
      <c r="N11" s="127" t="s">
        <v>40</v>
      </c>
      <c r="O11" s="127" t="s">
        <v>40</v>
      </c>
      <c r="P11" s="127" t="s">
        <v>40</v>
      </c>
      <c r="Q11" s="127" t="s">
        <v>40</v>
      </c>
    </row>
    <row r="12" spans="1:18" s="132" customFormat="1" ht="17" thickBot="1" x14ac:dyDescent="0.25">
      <c r="A12" s="155" t="s">
        <v>61</v>
      </c>
      <c r="B12" s="195"/>
      <c r="C12" s="203"/>
      <c r="D12" s="206"/>
      <c r="E12" s="207"/>
      <c r="F12" s="145"/>
      <c r="G12" s="145"/>
      <c r="H12" s="146" t="s">
        <v>60</v>
      </c>
      <c r="I12" s="127"/>
      <c r="J12" s="127"/>
      <c r="K12" s="127"/>
      <c r="L12" s="127"/>
      <c r="M12" s="127"/>
      <c r="N12" s="127"/>
      <c r="O12" s="127"/>
      <c r="P12" s="127"/>
      <c r="Q12" s="127"/>
    </row>
    <row r="13" spans="1:18" s="132" customFormat="1" ht="17" thickBot="1" x14ac:dyDescent="0.25">
      <c r="A13" s="155" t="s">
        <v>95</v>
      </c>
      <c r="B13" s="195"/>
      <c r="C13" s="196"/>
      <c r="D13" s="208"/>
      <c r="E13" s="209"/>
      <c r="F13" s="148"/>
      <c r="G13" s="148"/>
      <c r="H13" s="149" t="s">
        <v>71</v>
      </c>
      <c r="I13" s="127"/>
      <c r="J13" s="127"/>
      <c r="K13" s="127"/>
      <c r="L13" s="127" t="s">
        <v>40</v>
      </c>
      <c r="M13" s="127" t="s">
        <v>40</v>
      </c>
      <c r="N13" s="127" t="s">
        <v>40</v>
      </c>
      <c r="O13" s="127" t="s">
        <v>40</v>
      </c>
      <c r="P13" s="127" t="s">
        <v>40</v>
      </c>
      <c r="Q13" s="127" t="s">
        <v>40</v>
      </c>
    </row>
    <row r="14" spans="1:18" s="132" customFormat="1" ht="20" thickBot="1" x14ac:dyDescent="0.3">
      <c r="A14" s="155" t="s">
        <v>96</v>
      </c>
      <c r="B14" s="195"/>
      <c r="C14" s="196" t="s">
        <v>125</v>
      </c>
      <c r="D14" s="208">
        <f>COUNTIF(12:12,"Long Call")</f>
        <v>1</v>
      </c>
      <c r="E14" s="209"/>
      <c r="F14" s="556" t="s">
        <v>65</v>
      </c>
      <c r="G14" s="557"/>
      <c r="H14" s="152" t="s">
        <v>40</v>
      </c>
      <c r="I14" s="127"/>
      <c r="J14" s="127"/>
      <c r="K14" s="127"/>
      <c r="L14" s="127" t="s">
        <v>40</v>
      </c>
      <c r="M14" s="127" t="s">
        <v>40</v>
      </c>
      <c r="N14" s="127" t="s">
        <v>40</v>
      </c>
      <c r="O14" s="127" t="s">
        <v>40</v>
      </c>
      <c r="P14" s="127" t="s">
        <v>40</v>
      </c>
      <c r="Q14" s="127" t="s">
        <v>40</v>
      </c>
    </row>
    <row r="15" spans="1:18" s="132" customFormat="1" x14ac:dyDescent="0.2">
      <c r="A15" s="155" t="s">
        <v>97</v>
      </c>
      <c r="B15" s="195"/>
      <c r="C15" s="196" t="s">
        <v>126</v>
      </c>
      <c r="D15" s="208">
        <f>COUNTIF(12:12,"Short Call")</f>
        <v>0</v>
      </c>
      <c r="E15" s="209"/>
      <c r="F15" s="157" t="s">
        <v>7</v>
      </c>
      <c r="G15" s="158" t="s">
        <v>1</v>
      </c>
      <c r="H15" s="210">
        <v>45</v>
      </c>
      <c r="I15" s="127"/>
      <c r="J15" s="127"/>
      <c r="K15" s="127"/>
      <c r="L15" s="127" t="s">
        <v>40</v>
      </c>
      <c r="M15" s="127" t="s">
        <v>40</v>
      </c>
      <c r="N15" s="127" t="s">
        <v>40</v>
      </c>
      <c r="O15" s="127" t="s">
        <v>40</v>
      </c>
      <c r="P15" s="127" t="s">
        <v>40</v>
      </c>
      <c r="Q15" s="127" t="s">
        <v>40</v>
      </c>
    </row>
    <row r="16" spans="1:18" s="132" customFormat="1" x14ac:dyDescent="0.2">
      <c r="A16" s="155" t="s">
        <v>98</v>
      </c>
      <c r="B16" s="195"/>
      <c r="C16" s="196" t="s">
        <v>127</v>
      </c>
      <c r="D16" s="208">
        <v>0</v>
      </c>
      <c r="E16" s="209"/>
      <c r="F16" s="163" t="s">
        <v>8</v>
      </c>
      <c r="G16" s="164" t="s">
        <v>3</v>
      </c>
      <c r="H16" s="211">
        <v>2E-3</v>
      </c>
      <c r="I16" s="127"/>
      <c r="J16" s="127"/>
      <c r="K16" s="127"/>
      <c r="L16" s="127" t="s">
        <v>40</v>
      </c>
      <c r="M16" s="127" t="s">
        <v>40</v>
      </c>
      <c r="N16" s="127" t="s">
        <v>40</v>
      </c>
      <c r="O16" s="127" t="s">
        <v>40</v>
      </c>
      <c r="P16" s="127" t="s">
        <v>40</v>
      </c>
      <c r="Q16" s="127" t="s">
        <v>40</v>
      </c>
    </row>
    <row r="17" spans="1:17" s="132" customFormat="1" x14ac:dyDescent="0.2">
      <c r="A17" s="155" t="s">
        <v>99</v>
      </c>
      <c r="B17" s="195"/>
      <c r="C17" s="196" t="s">
        <v>128</v>
      </c>
      <c r="D17" s="208">
        <f>COUNTIF(12:12,"Short Put")</f>
        <v>0</v>
      </c>
      <c r="E17" s="209"/>
      <c r="F17" s="163" t="s">
        <v>9</v>
      </c>
      <c r="G17" s="166" t="s">
        <v>4</v>
      </c>
      <c r="H17" s="212">
        <v>0</v>
      </c>
      <c r="I17" s="127"/>
      <c r="J17" s="127"/>
      <c r="K17" s="127"/>
      <c r="L17" s="127" t="s">
        <v>40</v>
      </c>
      <c r="M17" s="127" t="s">
        <v>40</v>
      </c>
      <c r="N17" s="127" t="s">
        <v>40</v>
      </c>
      <c r="O17" s="127" t="s">
        <v>40</v>
      </c>
      <c r="P17" s="127" t="s">
        <v>40</v>
      </c>
      <c r="Q17" s="127" t="s">
        <v>40</v>
      </c>
    </row>
    <row r="18" spans="1:17" s="132" customFormat="1" ht="17" thickBot="1" x14ac:dyDescent="0.25">
      <c r="A18" s="155" t="s">
        <v>161</v>
      </c>
      <c r="B18" s="195"/>
      <c r="C18" s="196" t="s">
        <v>129</v>
      </c>
      <c r="D18" s="208">
        <f>COUNTIF(12:12,"Long Asset")</f>
        <v>0</v>
      </c>
      <c r="E18" s="209"/>
      <c r="F18" s="168" t="s">
        <v>10</v>
      </c>
      <c r="G18" s="194" t="s">
        <v>5</v>
      </c>
      <c r="H18" s="213">
        <v>7.0000000000000007E-2</v>
      </c>
      <c r="I18" s="127"/>
      <c r="J18" s="127"/>
      <c r="K18" s="127"/>
      <c r="L18" s="127" t="s">
        <v>40</v>
      </c>
      <c r="M18" s="127" t="s">
        <v>40</v>
      </c>
      <c r="N18" s="127" t="s">
        <v>40</v>
      </c>
      <c r="O18" s="127" t="s">
        <v>40</v>
      </c>
      <c r="P18" s="127" t="s">
        <v>40</v>
      </c>
      <c r="Q18" s="127" t="s">
        <v>40</v>
      </c>
    </row>
    <row r="19" spans="1:17" s="132" customFormat="1" ht="17" thickBot="1" x14ac:dyDescent="0.25">
      <c r="A19" s="155" t="s">
        <v>100</v>
      </c>
      <c r="B19" s="195"/>
      <c r="C19" s="196" t="s">
        <v>130</v>
      </c>
      <c r="D19" s="208">
        <f>COUNTIF(12:12,"Short Asset")</f>
        <v>0</v>
      </c>
      <c r="E19" s="209"/>
      <c r="F19" s="171"/>
      <c r="G19" s="172"/>
      <c r="H19" s="173" t="s">
        <v>40</v>
      </c>
      <c r="I19" s="127"/>
      <c r="J19" s="127"/>
      <c r="K19" s="127"/>
      <c r="L19" s="127" t="s">
        <v>40</v>
      </c>
      <c r="M19" s="127" t="s">
        <v>40</v>
      </c>
      <c r="N19" s="127" t="s">
        <v>40</v>
      </c>
      <c r="O19" s="127" t="s">
        <v>40</v>
      </c>
      <c r="P19" s="127" t="s">
        <v>40</v>
      </c>
      <c r="Q19" s="127" t="s">
        <v>40</v>
      </c>
    </row>
    <row r="20" spans="1:17" s="132" customFormat="1" ht="20" thickBot="1" x14ac:dyDescent="0.3">
      <c r="A20" s="155" t="s">
        <v>101</v>
      </c>
      <c r="B20" s="195"/>
      <c r="C20" s="196" t="s">
        <v>152</v>
      </c>
      <c r="D20" s="208">
        <f>COUNTIF(12:12,"Long Futures")</f>
        <v>0</v>
      </c>
      <c r="E20" s="214"/>
      <c r="F20" s="558" t="s">
        <v>66</v>
      </c>
      <c r="G20" s="559"/>
      <c r="H20" s="174" t="s">
        <v>40</v>
      </c>
      <c r="I20" s="215" t="s">
        <v>40</v>
      </c>
      <c r="J20" s="127" t="s">
        <v>40</v>
      </c>
      <c r="K20" s="127" t="s">
        <v>40</v>
      </c>
      <c r="L20" s="127" t="s">
        <v>40</v>
      </c>
      <c r="M20" s="127" t="s">
        <v>40</v>
      </c>
      <c r="N20" s="127" t="s">
        <v>40</v>
      </c>
      <c r="O20" s="127" t="s">
        <v>40</v>
      </c>
      <c r="P20" s="127" t="s">
        <v>40</v>
      </c>
      <c r="Q20" s="127" t="s">
        <v>40</v>
      </c>
    </row>
    <row r="21" spans="1:17" s="132" customFormat="1" ht="17" thickBot="1" x14ac:dyDescent="0.25">
      <c r="A21" s="155" t="s">
        <v>102</v>
      </c>
      <c r="B21" s="195"/>
      <c r="C21" s="196" t="s">
        <v>153</v>
      </c>
      <c r="D21" s="208">
        <f>COUNTIF(12:12,"Short Futures")</f>
        <v>0</v>
      </c>
      <c r="E21" s="217"/>
      <c r="F21" s="157" t="s">
        <v>6</v>
      </c>
      <c r="G21" s="175" t="s">
        <v>2</v>
      </c>
      <c r="H21" s="218">
        <v>45</v>
      </c>
      <c r="I21" s="127" t="s">
        <v>40</v>
      </c>
      <c r="J21" s="127" t="s">
        <v>40</v>
      </c>
      <c r="K21" s="127" t="s">
        <v>40</v>
      </c>
      <c r="L21" s="127" t="s">
        <v>40</v>
      </c>
      <c r="M21" s="127" t="s">
        <v>40</v>
      </c>
      <c r="N21" s="127" t="s">
        <v>40</v>
      </c>
      <c r="O21" s="127" t="s">
        <v>40</v>
      </c>
      <c r="P21" s="127" t="s">
        <v>40</v>
      </c>
      <c r="Q21" s="127" t="s">
        <v>40</v>
      </c>
    </row>
    <row r="22" spans="1:17" s="132" customFormat="1" ht="17" thickBot="1" x14ac:dyDescent="0.25">
      <c r="A22" s="155" t="s">
        <v>103</v>
      </c>
      <c r="B22" s="195"/>
      <c r="C22" s="196"/>
      <c r="D22" s="208"/>
      <c r="E22" s="209"/>
      <c r="F22" s="163" t="s">
        <v>11</v>
      </c>
      <c r="G22" s="166" t="s">
        <v>12</v>
      </c>
      <c r="H22" s="212">
        <f>30/365</f>
        <v>8.2191780821917804E-2</v>
      </c>
      <c r="I22" s="127" t="s">
        <v>40</v>
      </c>
      <c r="J22" s="127" t="s">
        <v>40</v>
      </c>
      <c r="K22" s="127" t="s">
        <v>40</v>
      </c>
      <c r="L22" s="127" t="s">
        <v>40</v>
      </c>
      <c r="M22" s="127" t="s">
        <v>40</v>
      </c>
      <c r="N22" s="127" t="s">
        <v>40</v>
      </c>
      <c r="O22" s="127" t="s">
        <v>40</v>
      </c>
      <c r="P22" s="127" t="s">
        <v>40</v>
      </c>
      <c r="Q22" s="127" t="s">
        <v>40</v>
      </c>
    </row>
    <row r="23" spans="1:17" s="132" customFormat="1" ht="17" thickBot="1" x14ac:dyDescent="0.25">
      <c r="A23" s="155" t="s">
        <v>104</v>
      </c>
      <c r="B23" s="195"/>
      <c r="C23" s="196" t="s">
        <v>131</v>
      </c>
      <c r="D23" s="216">
        <f>COUNTA(12:12)</f>
        <v>2</v>
      </c>
      <c r="E23" s="209"/>
      <c r="F23" s="168" t="s">
        <v>78</v>
      </c>
      <c r="G23" s="194" t="s">
        <v>70</v>
      </c>
      <c r="H23" s="219">
        <v>0.36395032715363285</v>
      </c>
      <c r="I23" s="127" t="s">
        <v>40</v>
      </c>
      <c r="J23" s="127" t="s">
        <v>40</v>
      </c>
      <c r="K23" s="127" t="s">
        <v>40</v>
      </c>
      <c r="L23" s="127" t="s">
        <v>40</v>
      </c>
      <c r="M23" s="127" t="s">
        <v>40</v>
      </c>
      <c r="N23" s="127" t="s">
        <v>40</v>
      </c>
      <c r="O23" s="127" t="s">
        <v>40</v>
      </c>
      <c r="P23" s="127" t="s">
        <v>40</v>
      </c>
      <c r="Q23" s="127" t="s">
        <v>40</v>
      </c>
    </row>
    <row r="24" spans="1:17" s="132" customFormat="1" ht="17" thickBot="1" x14ac:dyDescent="0.25">
      <c r="A24" s="155" t="s">
        <v>105</v>
      </c>
      <c r="B24" s="195"/>
      <c r="C24" s="196"/>
      <c r="D24" s="208"/>
      <c r="E24" s="209"/>
      <c r="F24" s="127"/>
      <c r="G24" s="127"/>
      <c r="H24" s="127"/>
      <c r="I24" s="127" t="s">
        <v>40</v>
      </c>
      <c r="J24" s="127" t="s">
        <v>40</v>
      </c>
      <c r="K24" s="127" t="s">
        <v>40</v>
      </c>
      <c r="L24" s="127" t="s">
        <v>40</v>
      </c>
      <c r="M24" s="127" t="s">
        <v>40</v>
      </c>
      <c r="N24" s="127" t="s">
        <v>40</v>
      </c>
    </row>
    <row r="25" spans="1:17" s="132" customFormat="1" ht="17" thickBot="1" x14ac:dyDescent="0.25">
      <c r="A25" s="155" t="s">
        <v>106</v>
      </c>
      <c r="B25" s="195">
        <v>2</v>
      </c>
      <c r="C25" s="203"/>
      <c r="D25" s="204"/>
      <c r="E25" s="205" t="s">
        <v>63</v>
      </c>
      <c r="F25" s="523" t="s">
        <v>155</v>
      </c>
      <c r="G25" s="524"/>
      <c r="H25" s="277">
        <v>1</v>
      </c>
      <c r="I25" s="127" t="s">
        <v>40</v>
      </c>
      <c r="J25" s="127" t="s">
        <v>40</v>
      </c>
      <c r="K25" s="127" t="s">
        <v>40</v>
      </c>
      <c r="L25" s="127" t="s">
        <v>40</v>
      </c>
      <c r="M25" s="127" t="s">
        <v>40</v>
      </c>
      <c r="N25" s="127" t="s">
        <v>40</v>
      </c>
    </row>
    <row r="26" spans="1:17" s="132" customFormat="1" ht="17" thickBot="1" x14ac:dyDescent="0.25">
      <c r="A26" s="155" t="s">
        <v>107</v>
      </c>
      <c r="B26" s="195"/>
      <c r="C26" s="203"/>
      <c r="D26" s="206"/>
      <c r="E26" s="207"/>
      <c r="F26" s="145"/>
      <c r="G26" s="145"/>
      <c r="H26" s="146" t="s">
        <v>63</v>
      </c>
      <c r="I26" s="127" t="s">
        <v>40</v>
      </c>
      <c r="J26" s="127" t="s">
        <v>40</v>
      </c>
      <c r="K26" s="127" t="s">
        <v>40</v>
      </c>
      <c r="L26" s="127" t="s">
        <v>40</v>
      </c>
      <c r="M26" s="127" t="s">
        <v>40</v>
      </c>
      <c r="N26" s="127" t="s">
        <v>40</v>
      </c>
    </row>
    <row r="27" spans="1:17" s="132" customFormat="1" ht="17" thickBot="1" x14ac:dyDescent="0.25">
      <c r="A27" s="155" t="s">
        <v>108</v>
      </c>
      <c r="B27" s="195"/>
      <c r="C27" s="196"/>
      <c r="D27" s="208"/>
      <c r="E27" s="209"/>
      <c r="F27" s="148"/>
      <c r="G27" s="148"/>
      <c r="H27" s="149" t="s">
        <v>73</v>
      </c>
      <c r="I27" s="127" t="s">
        <v>40</v>
      </c>
      <c r="J27" s="127" t="s">
        <v>40</v>
      </c>
      <c r="K27" s="127" t="s">
        <v>40</v>
      </c>
      <c r="L27" s="127" t="s">
        <v>40</v>
      </c>
      <c r="M27" s="127" t="s">
        <v>40</v>
      </c>
      <c r="N27" s="127" t="s">
        <v>40</v>
      </c>
    </row>
    <row r="28" spans="1:17" s="132" customFormat="1" ht="20" thickBot="1" x14ac:dyDescent="0.3">
      <c r="A28" s="155" t="s">
        <v>109</v>
      </c>
      <c r="B28" s="195"/>
      <c r="C28" s="196" t="s">
        <v>125</v>
      </c>
      <c r="D28" s="208">
        <f>COUNTIF(26:26,"Long Call")</f>
        <v>0</v>
      </c>
      <c r="E28" s="209"/>
      <c r="F28" s="556" t="s">
        <v>65</v>
      </c>
      <c r="G28" s="557"/>
      <c r="H28" s="152" t="s">
        <v>40</v>
      </c>
      <c r="I28" s="127" t="s">
        <v>40</v>
      </c>
      <c r="J28" s="127" t="s">
        <v>40</v>
      </c>
      <c r="K28" s="127" t="s">
        <v>40</v>
      </c>
      <c r="L28" s="127" t="s">
        <v>40</v>
      </c>
      <c r="M28" s="127" t="s">
        <v>40</v>
      </c>
      <c r="N28" s="127" t="s">
        <v>40</v>
      </c>
    </row>
    <row r="29" spans="1:17" s="132" customFormat="1" x14ac:dyDescent="0.2">
      <c r="A29" s="155" t="s">
        <v>110</v>
      </c>
      <c r="B29" s="195"/>
      <c r="C29" s="196" t="s">
        <v>126</v>
      </c>
      <c r="D29" s="208">
        <f>COUNTIF(26:26,"Short Call")</f>
        <v>0</v>
      </c>
      <c r="E29" s="209"/>
      <c r="F29" s="157" t="s">
        <v>7</v>
      </c>
      <c r="G29" s="158" t="s">
        <v>1</v>
      </c>
      <c r="H29" s="210">
        <v>45</v>
      </c>
      <c r="I29" s="127" t="s">
        <v>40</v>
      </c>
      <c r="J29" s="127" t="s">
        <v>40</v>
      </c>
      <c r="K29" s="127" t="s">
        <v>40</v>
      </c>
      <c r="L29" s="127" t="s">
        <v>40</v>
      </c>
      <c r="M29" s="127" t="s">
        <v>40</v>
      </c>
      <c r="N29" s="127" t="s">
        <v>40</v>
      </c>
    </row>
    <row r="30" spans="1:17" s="132" customFormat="1" x14ac:dyDescent="0.2">
      <c r="A30" s="155" t="s">
        <v>111</v>
      </c>
      <c r="B30" s="195"/>
      <c r="C30" s="196" t="s">
        <v>127</v>
      </c>
      <c r="D30" s="208">
        <f>COUNTIF(26:26,"Long Put")</f>
        <v>0</v>
      </c>
      <c r="E30" s="209"/>
      <c r="F30" s="163" t="s">
        <v>8</v>
      </c>
      <c r="G30" s="164" t="s">
        <v>3</v>
      </c>
      <c r="H30" s="211">
        <v>2E-3</v>
      </c>
      <c r="I30" s="127" t="s">
        <v>40</v>
      </c>
      <c r="J30" s="127" t="s">
        <v>40</v>
      </c>
      <c r="K30" s="127" t="s">
        <v>40</v>
      </c>
      <c r="L30" s="127" t="s">
        <v>40</v>
      </c>
      <c r="M30" s="127" t="s">
        <v>40</v>
      </c>
      <c r="N30" s="127" t="s">
        <v>40</v>
      </c>
    </row>
    <row r="31" spans="1:17" s="132" customFormat="1" x14ac:dyDescent="0.2">
      <c r="A31" s="155" t="s">
        <v>112</v>
      </c>
      <c r="B31" s="195"/>
      <c r="C31" s="196" t="s">
        <v>128</v>
      </c>
      <c r="D31" s="208">
        <f>COUNTIF(26:26,"Short Put")</f>
        <v>1</v>
      </c>
      <c r="E31" s="209"/>
      <c r="F31" s="163" t="s">
        <v>9</v>
      </c>
      <c r="G31" s="166" t="s">
        <v>4</v>
      </c>
      <c r="H31" s="212">
        <v>0</v>
      </c>
      <c r="I31" s="127" t="s">
        <v>40</v>
      </c>
      <c r="J31" s="127" t="s">
        <v>40</v>
      </c>
      <c r="K31" s="127" t="s">
        <v>40</v>
      </c>
      <c r="L31" s="127" t="s">
        <v>40</v>
      </c>
      <c r="M31" s="127" t="s">
        <v>40</v>
      </c>
      <c r="N31" s="127" t="s">
        <v>40</v>
      </c>
    </row>
    <row r="32" spans="1:17" s="132" customFormat="1" ht="17" thickBot="1" x14ac:dyDescent="0.25">
      <c r="A32" s="155" t="s">
        <v>113</v>
      </c>
      <c r="B32" s="195"/>
      <c r="C32" s="196" t="s">
        <v>129</v>
      </c>
      <c r="D32" s="208">
        <f>COUNTIF(26:26,"Long Asset")</f>
        <v>0</v>
      </c>
      <c r="E32" s="209"/>
      <c r="F32" s="168" t="s">
        <v>10</v>
      </c>
      <c r="G32" s="194" t="s">
        <v>5</v>
      </c>
      <c r="H32" s="213">
        <v>7.0000000000000007E-2</v>
      </c>
      <c r="I32" s="127" t="s">
        <v>40</v>
      </c>
      <c r="J32" s="127" t="s">
        <v>40</v>
      </c>
      <c r="K32" s="127" t="s">
        <v>40</v>
      </c>
      <c r="L32" s="127" t="s">
        <v>40</v>
      </c>
      <c r="M32" s="127" t="s">
        <v>40</v>
      </c>
      <c r="N32" s="127" t="s">
        <v>40</v>
      </c>
    </row>
    <row r="33" spans="1:14" s="132" customFormat="1" ht="17" thickBot="1" x14ac:dyDescent="0.25">
      <c r="A33" s="155"/>
      <c r="B33" s="195"/>
      <c r="C33" s="196" t="s">
        <v>130</v>
      </c>
      <c r="D33" s="208">
        <f>COUNTIF(26:26,"Short Asset")</f>
        <v>0</v>
      </c>
      <c r="E33" s="209"/>
      <c r="F33" s="171"/>
      <c r="G33" s="172"/>
      <c r="H33" s="173" t="s">
        <v>40</v>
      </c>
      <c r="I33" s="127" t="s">
        <v>40</v>
      </c>
      <c r="J33" s="127" t="s">
        <v>40</v>
      </c>
      <c r="K33" s="127" t="s">
        <v>40</v>
      </c>
      <c r="L33" s="127" t="s">
        <v>40</v>
      </c>
      <c r="M33" s="127" t="s">
        <v>40</v>
      </c>
      <c r="N33" s="127" t="s">
        <v>40</v>
      </c>
    </row>
    <row r="34" spans="1:14" s="132" customFormat="1" ht="20" thickBot="1" x14ac:dyDescent="0.3">
      <c r="A34" s="155"/>
      <c r="B34" s="195"/>
      <c r="C34" s="196" t="s">
        <v>152</v>
      </c>
      <c r="D34" s="208">
        <f>COUNTIF(26:26,"Long Futures")</f>
        <v>0</v>
      </c>
      <c r="E34" s="209"/>
      <c r="F34" s="558" t="s">
        <v>66</v>
      </c>
      <c r="G34" s="559"/>
      <c r="H34" s="174" t="s">
        <v>40</v>
      </c>
      <c r="I34" s="127" t="s">
        <v>40</v>
      </c>
      <c r="J34" s="127" t="s">
        <v>40</v>
      </c>
      <c r="K34" s="127" t="s">
        <v>40</v>
      </c>
      <c r="L34" s="127" t="s">
        <v>40</v>
      </c>
      <c r="M34" s="127" t="s">
        <v>40</v>
      </c>
      <c r="N34" s="127" t="s">
        <v>40</v>
      </c>
    </row>
    <row r="35" spans="1:14" s="132" customFormat="1" ht="17" thickBot="1" x14ac:dyDescent="0.25">
      <c r="A35" s="155"/>
      <c r="B35" s="195"/>
      <c r="C35" s="196" t="s">
        <v>153</v>
      </c>
      <c r="D35" s="208">
        <f>COUNTIF(26:26,"Short Futures")</f>
        <v>0</v>
      </c>
      <c r="E35" s="220"/>
      <c r="F35" s="157" t="s">
        <v>6</v>
      </c>
      <c r="G35" s="175" t="s">
        <v>2</v>
      </c>
      <c r="H35" s="218">
        <v>45</v>
      </c>
      <c r="I35" s="127" t="s">
        <v>40</v>
      </c>
      <c r="J35" s="127" t="s">
        <v>40</v>
      </c>
      <c r="K35" s="127" t="s">
        <v>40</v>
      </c>
      <c r="L35" s="127" t="s">
        <v>40</v>
      </c>
      <c r="M35" s="127" t="s">
        <v>40</v>
      </c>
      <c r="N35" s="127" t="s">
        <v>40</v>
      </c>
    </row>
    <row r="36" spans="1:14" s="132" customFormat="1" ht="17" thickBot="1" x14ac:dyDescent="0.25">
      <c r="A36" s="155"/>
      <c r="B36" s="195"/>
      <c r="C36" s="196"/>
      <c r="D36" s="208"/>
      <c r="E36" s="209"/>
      <c r="F36" s="163" t="s">
        <v>11</v>
      </c>
      <c r="G36" s="166" t="s">
        <v>12</v>
      </c>
      <c r="H36" s="212">
        <f>30/365</f>
        <v>8.2191780821917804E-2</v>
      </c>
      <c r="I36" s="127" t="s">
        <v>40</v>
      </c>
      <c r="J36" s="127" t="s">
        <v>40</v>
      </c>
      <c r="K36" s="127" t="s">
        <v>40</v>
      </c>
      <c r="L36" s="127" t="s">
        <v>40</v>
      </c>
      <c r="M36" s="127" t="s">
        <v>40</v>
      </c>
      <c r="N36" s="127" t="s">
        <v>40</v>
      </c>
    </row>
    <row r="37" spans="1:14" s="132" customFormat="1" ht="17" thickBot="1" x14ac:dyDescent="0.25">
      <c r="A37" s="155"/>
      <c r="B37" s="195"/>
      <c r="C37" s="196" t="s">
        <v>131</v>
      </c>
      <c r="D37" s="216">
        <f>COUNTA(26:26)</f>
        <v>8</v>
      </c>
      <c r="E37" s="209"/>
      <c r="F37" s="168" t="s">
        <v>78</v>
      </c>
      <c r="G37" s="194" t="s">
        <v>70</v>
      </c>
      <c r="H37" s="219">
        <v>0.35655367484033978</v>
      </c>
      <c r="I37" s="127" t="s">
        <v>40</v>
      </c>
      <c r="J37" s="127" t="s">
        <v>40</v>
      </c>
      <c r="K37" s="127" t="s">
        <v>40</v>
      </c>
      <c r="L37" s="127" t="s">
        <v>40</v>
      </c>
      <c r="M37" s="127" t="s">
        <v>40</v>
      </c>
      <c r="N37" s="127" t="s">
        <v>40</v>
      </c>
    </row>
    <row r="38" spans="1:14" s="132" customFormat="1" ht="17" thickBot="1" x14ac:dyDescent="0.25">
      <c r="A38" s="155"/>
      <c r="B38" s="195"/>
      <c r="C38" s="196"/>
      <c r="D38" s="208"/>
      <c r="E38" s="209"/>
      <c r="F38" s="127"/>
      <c r="G38" s="127"/>
      <c r="H38" s="127"/>
      <c r="I38" s="127" t="s">
        <v>40</v>
      </c>
      <c r="J38" s="127" t="s">
        <v>40</v>
      </c>
      <c r="K38" s="127" t="s">
        <v>40</v>
      </c>
      <c r="L38" s="127" t="s">
        <v>40</v>
      </c>
      <c r="M38" s="127" t="s">
        <v>40</v>
      </c>
      <c r="N38" s="127" t="s">
        <v>40</v>
      </c>
    </row>
    <row r="39" spans="1:14" s="132" customFormat="1" ht="17" thickBot="1" x14ac:dyDescent="0.25">
      <c r="A39" s="155"/>
      <c r="B39" s="195">
        <v>3</v>
      </c>
      <c r="C39" s="203"/>
      <c r="D39" s="204"/>
      <c r="E39" s="205" t="s">
        <v>88</v>
      </c>
      <c r="F39" s="523" t="s">
        <v>155</v>
      </c>
      <c r="G39" s="524"/>
      <c r="H39" s="277">
        <v>1</v>
      </c>
      <c r="I39" s="277">
        <v>1</v>
      </c>
      <c r="J39" s="127" t="s">
        <v>40</v>
      </c>
      <c r="K39" s="127" t="s">
        <v>40</v>
      </c>
      <c r="L39" s="127" t="s">
        <v>40</v>
      </c>
      <c r="M39" s="127" t="s">
        <v>40</v>
      </c>
      <c r="N39" s="127" t="s">
        <v>40</v>
      </c>
    </row>
    <row r="40" spans="1:14" s="132" customFormat="1" ht="17" thickBot="1" x14ac:dyDescent="0.25">
      <c r="A40" s="155"/>
      <c r="B40" s="195"/>
      <c r="C40" s="203"/>
      <c r="D40" s="206"/>
      <c r="E40" s="207"/>
      <c r="F40" s="145"/>
      <c r="G40" s="145"/>
      <c r="H40" s="146" t="s">
        <v>60</v>
      </c>
      <c r="I40" s="146" t="s">
        <v>63</v>
      </c>
      <c r="J40" s="127" t="s">
        <v>40</v>
      </c>
      <c r="K40" s="127" t="s">
        <v>40</v>
      </c>
      <c r="L40" s="127" t="s">
        <v>40</v>
      </c>
      <c r="M40" s="127" t="s">
        <v>40</v>
      </c>
      <c r="N40" s="127" t="s">
        <v>40</v>
      </c>
    </row>
    <row r="41" spans="1:14" s="132" customFormat="1" ht="17" thickBot="1" x14ac:dyDescent="0.25">
      <c r="A41" s="155"/>
      <c r="B41" s="195"/>
      <c r="C41" s="196"/>
      <c r="D41" s="208"/>
      <c r="E41" s="209"/>
      <c r="F41" s="148"/>
      <c r="G41" s="148"/>
      <c r="H41" s="149" t="s">
        <v>71</v>
      </c>
      <c r="I41" s="149" t="s">
        <v>73</v>
      </c>
      <c r="J41" s="127" t="s">
        <v>40</v>
      </c>
      <c r="K41" s="127" t="s">
        <v>40</v>
      </c>
      <c r="L41" s="127" t="s">
        <v>40</v>
      </c>
      <c r="M41" s="127" t="s">
        <v>40</v>
      </c>
      <c r="N41" s="127" t="s">
        <v>40</v>
      </c>
    </row>
    <row r="42" spans="1:14" s="132" customFormat="1" ht="20" thickBot="1" x14ac:dyDescent="0.3">
      <c r="A42" s="155"/>
      <c r="B42" s="195"/>
      <c r="C42" s="196" t="s">
        <v>125</v>
      </c>
      <c r="D42" s="208">
        <f>COUNTIF(40:40,"Long Call")</f>
        <v>1</v>
      </c>
      <c r="E42" s="209"/>
      <c r="F42" s="556" t="s">
        <v>65</v>
      </c>
      <c r="G42" s="557"/>
      <c r="H42" s="152" t="s">
        <v>40</v>
      </c>
      <c r="I42" s="153" t="s">
        <v>40</v>
      </c>
      <c r="J42" s="127" t="s">
        <v>40</v>
      </c>
      <c r="K42" s="127" t="s">
        <v>40</v>
      </c>
      <c r="L42" s="127" t="s">
        <v>40</v>
      </c>
      <c r="M42" s="127" t="s">
        <v>40</v>
      </c>
      <c r="N42" s="127" t="s">
        <v>40</v>
      </c>
    </row>
    <row r="43" spans="1:14" s="132" customFormat="1" x14ac:dyDescent="0.2">
      <c r="A43" s="155"/>
      <c r="B43" s="195"/>
      <c r="C43" s="196" t="s">
        <v>126</v>
      </c>
      <c r="D43" s="208">
        <f>COUNTIF(40:40,"Short Call")</f>
        <v>0</v>
      </c>
      <c r="E43" s="209"/>
      <c r="F43" s="157" t="s">
        <v>7</v>
      </c>
      <c r="G43" s="158" t="s">
        <v>1</v>
      </c>
      <c r="H43" s="210">
        <v>45</v>
      </c>
      <c r="I43" s="221">
        <v>45</v>
      </c>
      <c r="J43" s="127" t="s">
        <v>40</v>
      </c>
      <c r="K43" s="127" t="s">
        <v>40</v>
      </c>
      <c r="L43" s="127" t="s">
        <v>40</v>
      </c>
      <c r="M43" s="127" t="s">
        <v>40</v>
      </c>
      <c r="N43" s="127" t="s">
        <v>40</v>
      </c>
    </row>
    <row r="44" spans="1:14" s="132" customFormat="1" x14ac:dyDescent="0.2">
      <c r="A44" s="155"/>
      <c r="B44" s="195"/>
      <c r="C44" s="196" t="s">
        <v>127</v>
      </c>
      <c r="D44" s="208">
        <f>COUNTIF(40:40,"Long Put")</f>
        <v>0</v>
      </c>
      <c r="E44" s="208"/>
      <c r="F44" s="163" t="s">
        <v>8</v>
      </c>
      <c r="G44" s="164" t="s">
        <v>3</v>
      </c>
      <c r="H44" s="211">
        <v>2E-3</v>
      </c>
      <c r="I44" s="222">
        <v>2E-3</v>
      </c>
    </row>
    <row r="45" spans="1:14" s="132" customFormat="1" x14ac:dyDescent="0.2">
      <c r="A45" s="155"/>
      <c r="B45" s="195"/>
      <c r="C45" s="196" t="s">
        <v>128</v>
      </c>
      <c r="D45" s="208">
        <f>COUNTIF(40:40,"Short Put")</f>
        <v>1</v>
      </c>
      <c r="E45" s="208"/>
      <c r="F45" s="163" t="s">
        <v>9</v>
      </c>
      <c r="G45" s="166" t="s">
        <v>4</v>
      </c>
      <c r="H45" s="212">
        <v>0</v>
      </c>
      <c r="I45" s="222">
        <v>0</v>
      </c>
    </row>
    <row r="46" spans="1:14" s="132" customFormat="1" ht="17" thickBot="1" x14ac:dyDescent="0.25">
      <c r="A46" s="155"/>
      <c r="B46" s="195"/>
      <c r="C46" s="196" t="s">
        <v>129</v>
      </c>
      <c r="D46" s="208">
        <f>COUNTIF(40:40,"Long Asset")</f>
        <v>0</v>
      </c>
      <c r="E46" s="208"/>
      <c r="F46" s="168" t="s">
        <v>10</v>
      </c>
      <c r="G46" s="194" t="s">
        <v>5</v>
      </c>
      <c r="H46" s="213">
        <v>7.0000000000000007E-2</v>
      </c>
      <c r="I46" s="223">
        <v>7.0000000000000007E-2</v>
      </c>
    </row>
    <row r="47" spans="1:14" s="132" customFormat="1" ht="17" thickBot="1" x14ac:dyDescent="0.25">
      <c r="A47" s="155"/>
      <c r="B47" s="195"/>
      <c r="C47" s="196" t="s">
        <v>130</v>
      </c>
      <c r="D47" s="208">
        <f>COUNTIF(40:40,"Short Asset")</f>
        <v>0</v>
      </c>
      <c r="E47" s="208"/>
      <c r="F47" s="171"/>
      <c r="G47" s="172"/>
      <c r="H47" s="173" t="s">
        <v>40</v>
      </c>
      <c r="I47" s="173" t="s">
        <v>40</v>
      </c>
    </row>
    <row r="48" spans="1:14" s="132" customFormat="1" ht="20" thickBot="1" x14ac:dyDescent="0.3">
      <c r="A48" s="155"/>
      <c r="B48" s="195"/>
      <c r="C48" s="196" t="s">
        <v>152</v>
      </c>
      <c r="D48" s="208">
        <f>COUNTIF(40:40,"Long Futures")</f>
        <v>0</v>
      </c>
      <c r="E48" s="208"/>
      <c r="F48" s="558" t="s">
        <v>66</v>
      </c>
      <c r="G48" s="559"/>
      <c r="H48" s="174" t="s">
        <v>40</v>
      </c>
      <c r="I48" s="173" t="s">
        <v>40</v>
      </c>
    </row>
    <row r="49" spans="1:10" s="132" customFormat="1" ht="17" thickBot="1" x14ac:dyDescent="0.25">
      <c r="A49" s="155"/>
      <c r="B49" s="195"/>
      <c r="C49" s="196" t="s">
        <v>153</v>
      </c>
      <c r="D49" s="208">
        <f>COUNTIF(40:40,"Short Futures")</f>
        <v>0</v>
      </c>
      <c r="E49" s="216"/>
      <c r="F49" s="157" t="s">
        <v>6</v>
      </c>
      <c r="G49" s="175" t="s">
        <v>2</v>
      </c>
      <c r="H49" s="218">
        <v>45</v>
      </c>
      <c r="I49" s="218">
        <v>45</v>
      </c>
    </row>
    <row r="50" spans="1:10" s="132" customFormat="1" ht="17" thickBot="1" x14ac:dyDescent="0.25">
      <c r="A50" s="155"/>
      <c r="B50" s="195"/>
      <c r="C50" s="196"/>
      <c r="D50" s="208"/>
      <c r="E50" s="208"/>
      <c r="F50" s="163" t="s">
        <v>11</v>
      </c>
      <c r="G50" s="166" t="s">
        <v>12</v>
      </c>
      <c r="H50" s="212">
        <f>30/365</f>
        <v>8.2191780821917804E-2</v>
      </c>
      <c r="I50" s="212">
        <f>30/365</f>
        <v>8.2191780821917804E-2</v>
      </c>
    </row>
    <row r="51" spans="1:10" s="132" customFormat="1" ht="17" thickBot="1" x14ac:dyDescent="0.25">
      <c r="A51" s="155"/>
      <c r="B51" s="195"/>
      <c r="C51" s="196" t="s">
        <v>131</v>
      </c>
      <c r="D51" s="216">
        <f>COUNTA(40:40)</f>
        <v>7</v>
      </c>
      <c r="E51" s="208"/>
      <c r="F51" s="168" t="s">
        <v>78</v>
      </c>
      <c r="G51" s="194" t="s">
        <v>70</v>
      </c>
      <c r="H51" s="219">
        <v>0.36395032715363285</v>
      </c>
      <c r="I51" s="224">
        <v>0.35655367484033978</v>
      </c>
    </row>
    <row r="52" spans="1:10" s="132" customFormat="1" ht="17" thickBot="1" x14ac:dyDescent="0.25">
      <c r="A52" s="155"/>
      <c r="B52" s="195"/>
      <c r="C52" s="196"/>
      <c r="D52" s="208"/>
      <c r="E52" s="208"/>
    </row>
    <row r="53" spans="1:10" s="132" customFormat="1" ht="17" thickBot="1" x14ac:dyDescent="0.25">
      <c r="A53" s="155"/>
      <c r="B53" s="195">
        <v>4</v>
      </c>
      <c r="C53" s="203"/>
      <c r="D53" s="204"/>
      <c r="E53" s="204" t="s">
        <v>89</v>
      </c>
      <c r="F53" s="523" t="s">
        <v>155</v>
      </c>
      <c r="G53" s="524"/>
      <c r="H53" s="277">
        <v>1</v>
      </c>
      <c r="I53" s="277">
        <v>1</v>
      </c>
      <c r="J53" s="277">
        <v>1</v>
      </c>
    </row>
    <row r="54" spans="1:10" s="132" customFormat="1" ht="20" thickBot="1" x14ac:dyDescent="0.3">
      <c r="A54" s="155"/>
      <c r="B54" s="195"/>
      <c r="C54" s="203"/>
      <c r="D54" s="206"/>
      <c r="E54" s="206"/>
      <c r="F54" s="225"/>
      <c r="G54" s="225"/>
      <c r="H54" s="226" t="s">
        <v>60</v>
      </c>
      <c r="I54" s="227" t="s">
        <v>60</v>
      </c>
      <c r="J54" s="226" t="s">
        <v>62</v>
      </c>
    </row>
    <row r="55" spans="1:10" s="132" customFormat="1" ht="17" thickBot="1" x14ac:dyDescent="0.25">
      <c r="A55" s="155"/>
      <c r="B55" s="195"/>
      <c r="C55" s="196"/>
      <c r="D55" s="208"/>
      <c r="E55" s="208"/>
      <c r="F55" s="148"/>
      <c r="G55" s="148"/>
      <c r="H55" s="149" t="s">
        <v>71</v>
      </c>
      <c r="I55" s="149" t="s">
        <v>115</v>
      </c>
      <c r="J55" s="149" t="s">
        <v>75</v>
      </c>
    </row>
    <row r="56" spans="1:10" s="132" customFormat="1" ht="20" thickBot="1" x14ac:dyDescent="0.3">
      <c r="A56" s="155"/>
      <c r="B56" s="195"/>
      <c r="C56" s="196" t="s">
        <v>125</v>
      </c>
      <c r="D56" s="208">
        <f>COUNTIF(54:54,"Long Call")</f>
        <v>2</v>
      </c>
      <c r="E56" s="208"/>
      <c r="F56" s="556" t="s">
        <v>65</v>
      </c>
      <c r="G56" s="557"/>
      <c r="H56" s="152" t="s">
        <v>40</v>
      </c>
      <c r="I56" s="153" t="s">
        <v>40</v>
      </c>
      <c r="J56" s="153" t="s">
        <v>40</v>
      </c>
    </row>
    <row r="57" spans="1:10" s="132" customFormat="1" x14ac:dyDescent="0.2">
      <c r="A57" s="155"/>
      <c r="B57" s="195"/>
      <c r="C57" s="196" t="s">
        <v>126</v>
      </c>
      <c r="D57" s="208">
        <f>COUNTIF(54:54,"Short Call")</f>
        <v>1</v>
      </c>
      <c r="E57" s="208"/>
      <c r="F57" s="157" t="s">
        <v>7</v>
      </c>
      <c r="G57" s="158" t="s">
        <v>1</v>
      </c>
      <c r="H57" s="210">
        <v>40</v>
      </c>
      <c r="I57" s="228">
        <v>40</v>
      </c>
      <c r="J57" s="229">
        <v>40</v>
      </c>
    </row>
    <row r="58" spans="1:10" s="132" customFormat="1" x14ac:dyDescent="0.2">
      <c r="A58" s="155"/>
      <c r="B58" s="195"/>
      <c r="C58" s="196" t="s">
        <v>127</v>
      </c>
      <c r="D58" s="208">
        <f>COUNTIF(54:54,"Long Put")</f>
        <v>0</v>
      </c>
      <c r="E58" s="208"/>
      <c r="F58" s="163" t="s">
        <v>8</v>
      </c>
      <c r="G58" s="164" t="s">
        <v>3</v>
      </c>
      <c r="H58" s="211">
        <v>2E-3</v>
      </c>
      <c r="I58" s="230">
        <v>2E-3</v>
      </c>
      <c r="J58" s="230">
        <v>2E-3</v>
      </c>
    </row>
    <row r="59" spans="1:10" s="132" customFormat="1" x14ac:dyDescent="0.2">
      <c r="A59" s="155"/>
      <c r="B59" s="195"/>
      <c r="C59" s="196" t="s">
        <v>128</v>
      </c>
      <c r="D59" s="208">
        <f>COUNTIF(54:54,"Short Put")</f>
        <v>0</v>
      </c>
      <c r="E59" s="208"/>
      <c r="F59" s="163" t="s">
        <v>9</v>
      </c>
      <c r="G59" s="166" t="s">
        <v>4</v>
      </c>
      <c r="H59" s="212">
        <v>0</v>
      </c>
      <c r="I59" s="230">
        <v>0</v>
      </c>
      <c r="J59" s="230">
        <v>0</v>
      </c>
    </row>
    <row r="60" spans="1:10" s="132" customFormat="1" ht="17" thickBot="1" x14ac:dyDescent="0.25">
      <c r="A60" s="155"/>
      <c r="B60" s="195"/>
      <c r="C60" s="196" t="s">
        <v>129</v>
      </c>
      <c r="D60" s="208">
        <f>COUNTIF(54:54,"Long Asset")</f>
        <v>0</v>
      </c>
      <c r="E60" s="208"/>
      <c r="F60" s="168" t="s">
        <v>10</v>
      </c>
      <c r="G60" s="194" t="s">
        <v>5</v>
      </c>
      <c r="H60" s="213">
        <v>7.0000000000000007E-2</v>
      </c>
      <c r="I60" s="231">
        <v>7.0000000000000007E-2</v>
      </c>
      <c r="J60" s="231">
        <v>7.0000000000000007E-2</v>
      </c>
    </row>
    <row r="61" spans="1:10" s="132" customFormat="1" ht="17" thickBot="1" x14ac:dyDescent="0.25">
      <c r="A61" s="155"/>
      <c r="B61" s="195"/>
      <c r="C61" s="196" t="s">
        <v>130</v>
      </c>
      <c r="D61" s="208">
        <f>COUNTIF(54:54,"Short Asset")</f>
        <v>0</v>
      </c>
      <c r="E61" s="208"/>
      <c r="F61" s="171"/>
      <c r="G61" s="172"/>
      <c r="H61" s="232" t="s">
        <v>40</v>
      </c>
      <c r="I61" s="122" t="s">
        <v>40</v>
      </c>
      <c r="J61" s="122" t="s">
        <v>40</v>
      </c>
    </row>
    <row r="62" spans="1:10" s="132" customFormat="1" ht="20" thickBot="1" x14ac:dyDescent="0.3">
      <c r="A62" s="155"/>
      <c r="B62" s="195"/>
      <c r="C62" s="196" t="s">
        <v>152</v>
      </c>
      <c r="D62" s="208">
        <f>COUNTIF(54:54,"Long Futures")</f>
        <v>0</v>
      </c>
      <c r="E62" s="208"/>
      <c r="F62" s="558" t="s">
        <v>66</v>
      </c>
      <c r="G62" s="559"/>
      <c r="H62" s="233" t="s">
        <v>40</v>
      </c>
      <c r="I62" s="122" t="s">
        <v>40</v>
      </c>
      <c r="J62" s="122" t="s">
        <v>40</v>
      </c>
    </row>
    <row r="63" spans="1:10" s="132" customFormat="1" ht="17" thickBot="1" x14ac:dyDescent="0.25">
      <c r="A63" s="155"/>
      <c r="B63" s="195"/>
      <c r="C63" s="196" t="s">
        <v>153</v>
      </c>
      <c r="D63" s="208">
        <f>COUNTIF(54:54,"Short Futures")</f>
        <v>0</v>
      </c>
      <c r="E63" s="216"/>
      <c r="F63" s="157" t="s">
        <v>6</v>
      </c>
      <c r="G63" s="175" t="s">
        <v>2</v>
      </c>
      <c r="H63" s="210">
        <v>41</v>
      </c>
      <c r="I63" s="229">
        <v>41</v>
      </c>
      <c r="J63" s="229">
        <v>39</v>
      </c>
    </row>
    <row r="64" spans="1:10" s="132" customFormat="1" ht="17" thickBot="1" x14ac:dyDescent="0.25">
      <c r="A64" s="155"/>
      <c r="B64" s="195"/>
      <c r="C64" s="196"/>
      <c r="D64" s="208"/>
      <c r="E64" s="208"/>
      <c r="F64" s="163" t="s">
        <v>11</v>
      </c>
      <c r="G64" s="166" t="s">
        <v>12</v>
      </c>
      <c r="H64" s="212">
        <f>30/365</f>
        <v>8.2191780821917804E-2</v>
      </c>
      <c r="I64" s="212">
        <f>30/365</f>
        <v>8.2191780821917804E-2</v>
      </c>
      <c r="J64" s="212">
        <f>30/365</f>
        <v>8.2191780821917804E-2</v>
      </c>
    </row>
    <row r="65" spans="1:10" s="132" customFormat="1" ht="17" thickBot="1" x14ac:dyDescent="0.25">
      <c r="A65" s="155"/>
      <c r="B65" s="195"/>
      <c r="C65" s="196" t="s">
        <v>131</v>
      </c>
      <c r="D65" s="216">
        <f>COUNTA(54:54)</f>
        <v>3</v>
      </c>
      <c r="E65" s="208"/>
      <c r="F65" s="168" t="s">
        <v>78</v>
      </c>
      <c r="G65" s="194" t="s">
        <v>70</v>
      </c>
      <c r="H65" s="234">
        <v>4.3549291434934689E-2</v>
      </c>
      <c r="I65" s="235">
        <v>4.3549291434934689E-2</v>
      </c>
      <c r="J65" s="235">
        <v>1.0448755879711575</v>
      </c>
    </row>
    <row r="66" spans="1:10" s="132" customFormat="1" ht="17" thickBot="1" x14ac:dyDescent="0.25">
      <c r="A66" s="155"/>
      <c r="B66" s="195"/>
      <c r="C66" s="196"/>
      <c r="D66" s="208"/>
      <c r="E66" s="208"/>
    </row>
    <row r="67" spans="1:10" s="132" customFormat="1" ht="17" thickBot="1" x14ac:dyDescent="0.25">
      <c r="A67" s="155"/>
      <c r="B67" s="195">
        <v>5</v>
      </c>
      <c r="C67" s="203"/>
      <c r="D67" s="204"/>
      <c r="E67" s="204" t="s">
        <v>90</v>
      </c>
      <c r="F67" s="523" t="s">
        <v>155</v>
      </c>
      <c r="G67" s="524"/>
      <c r="H67" s="277">
        <v>1</v>
      </c>
      <c r="I67" s="277">
        <v>1</v>
      </c>
    </row>
    <row r="68" spans="1:10" s="132" customFormat="1" ht="20" thickBot="1" x14ac:dyDescent="0.3">
      <c r="A68" s="155"/>
      <c r="B68" s="195"/>
      <c r="C68" s="203"/>
      <c r="D68" s="206"/>
      <c r="E68" s="206"/>
      <c r="F68" s="225"/>
      <c r="G68" s="225"/>
      <c r="H68" s="226" t="s">
        <v>60</v>
      </c>
      <c r="I68" s="226" t="s">
        <v>62</v>
      </c>
    </row>
    <row r="69" spans="1:10" s="132" customFormat="1" ht="17" thickBot="1" x14ac:dyDescent="0.25">
      <c r="A69" s="155"/>
      <c r="B69" s="195"/>
      <c r="C69" s="196"/>
      <c r="D69" s="208"/>
      <c r="E69" s="208"/>
      <c r="F69" s="148"/>
      <c r="G69" s="148"/>
      <c r="H69" s="149" t="s">
        <v>71</v>
      </c>
      <c r="I69" s="149" t="s">
        <v>75</v>
      </c>
    </row>
    <row r="70" spans="1:10" s="132" customFormat="1" ht="20" thickBot="1" x14ac:dyDescent="0.3">
      <c r="A70" s="155"/>
      <c r="B70" s="195"/>
      <c r="C70" s="196" t="s">
        <v>125</v>
      </c>
      <c r="D70" s="208">
        <f>COUNTIF(68:68,"Long Call")</f>
        <v>1</v>
      </c>
      <c r="E70" s="208"/>
      <c r="F70" s="556" t="s">
        <v>65</v>
      </c>
      <c r="G70" s="557"/>
      <c r="H70" s="152" t="s">
        <v>40</v>
      </c>
      <c r="I70" s="153" t="s">
        <v>40</v>
      </c>
    </row>
    <row r="71" spans="1:10" s="132" customFormat="1" x14ac:dyDescent="0.2">
      <c r="A71" s="155"/>
      <c r="B71" s="195"/>
      <c r="C71" s="196" t="s">
        <v>126</v>
      </c>
      <c r="D71" s="208">
        <f>COUNTIF(68:68,"Short Call")</f>
        <v>1</v>
      </c>
      <c r="E71" s="208"/>
      <c r="F71" s="157" t="s">
        <v>7</v>
      </c>
      <c r="G71" s="158" t="s">
        <v>1</v>
      </c>
      <c r="H71" s="210">
        <v>40</v>
      </c>
      <c r="I71" s="228">
        <v>40</v>
      </c>
    </row>
    <row r="72" spans="1:10" s="132" customFormat="1" x14ac:dyDescent="0.2">
      <c r="A72" s="155"/>
      <c r="B72" s="195"/>
      <c r="C72" s="196" t="s">
        <v>127</v>
      </c>
      <c r="D72" s="208">
        <f>COUNTIF(68:68,"Long Put")</f>
        <v>0</v>
      </c>
      <c r="E72" s="208"/>
      <c r="F72" s="163" t="s">
        <v>8</v>
      </c>
      <c r="G72" s="164" t="s">
        <v>3</v>
      </c>
      <c r="H72" s="211">
        <v>2E-3</v>
      </c>
      <c r="I72" s="230">
        <v>2E-3</v>
      </c>
    </row>
    <row r="73" spans="1:10" s="132" customFormat="1" x14ac:dyDescent="0.2">
      <c r="A73" s="155"/>
      <c r="B73" s="195"/>
      <c r="C73" s="196" t="s">
        <v>128</v>
      </c>
      <c r="D73" s="208">
        <f>COUNTIF(68:68,"Short Put")</f>
        <v>0</v>
      </c>
      <c r="E73" s="208"/>
      <c r="F73" s="163" t="s">
        <v>9</v>
      </c>
      <c r="G73" s="166" t="s">
        <v>4</v>
      </c>
      <c r="H73" s="212">
        <v>0</v>
      </c>
      <c r="I73" s="230">
        <v>0</v>
      </c>
    </row>
    <row r="74" spans="1:10" s="132" customFormat="1" ht="17" thickBot="1" x14ac:dyDescent="0.25">
      <c r="A74" s="155"/>
      <c r="B74" s="195"/>
      <c r="C74" s="196" t="s">
        <v>129</v>
      </c>
      <c r="D74" s="208">
        <f>COUNTIF(68:68,"Long Asset")</f>
        <v>0</v>
      </c>
      <c r="E74" s="208"/>
      <c r="F74" s="168" t="s">
        <v>10</v>
      </c>
      <c r="G74" s="194" t="s">
        <v>5</v>
      </c>
      <c r="H74" s="213">
        <v>7.0000000000000007E-2</v>
      </c>
      <c r="I74" s="231">
        <v>7.0000000000000007E-2</v>
      </c>
    </row>
    <row r="75" spans="1:10" s="132" customFormat="1" ht="17" thickBot="1" x14ac:dyDescent="0.25">
      <c r="A75" s="155"/>
      <c r="B75" s="195"/>
      <c r="C75" s="196" t="s">
        <v>130</v>
      </c>
      <c r="D75" s="208">
        <f>COUNTIF(68:68,"Short Asset")</f>
        <v>0</v>
      </c>
      <c r="E75" s="208"/>
      <c r="F75" s="171"/>
      <c r="G75" s="172"/>
      <c r="H75" s="232" t="s">
        <v>40</v>
      </c>
      <c r="I75" s="122" t="s">
        <v>40</v>
      </c>
    </row>
    <row r="76" spans="1:10" s="132" customFormat="1" ht="20" thickBot="1" x14ac:dyDescent="0.3">
      <c r="A76" s="155"/>
      <c r="B76" s="195"/>
      <c r="C76" s="196" t="s">
        <v>152</v>
      </c>
      <c r="D76" s="208">
        <f>COUNTIF(68:68,"Long Futures")</f>
        <v>0</v>
      </c>
      <c r="E76" s="208"/>
      <c r="F76" s="558" t="s">
        <v>66</v>
      </c>
      <c r="G76" s="559"/>
      <c r="H76" s="233" t="s">
        <v>40</v>
      </c>
      <c r="I76" s="122" t="s">
        <v>40</v>
      </c>
    </row>
    <row r="77" spans="1:10" s="132" customFormat="1" ht="17" thickBot="1" x14ac:dyDescent="0.25">
      <c r="A77" s="155"/>
      <c r="B77" s="195"/>
      <c r="C77" s="196" t="s">
        <v>153</v>
      </c>
      <c r="D77" s="208">
        <f>COUNTIF(68:68,"Short Futures")</f>
        <v>0</v>
      </c>
      <c r="E77" s="216"/>
      <c r="F77" s="157" t="s">
        <v>6</v>
      </c>
      <c r="G77" s="175" t="s">
        <v>2</v>
      </c>
      <c r="H77" s="210">
        <v>39</v>
      </c>
      <c r="I77" s="229">
        <v>41</v>
      </c>
    </row>
    <row r="78" spans="1:10" s="132" customFormat="1" ht="17" thickBot="1" x14ac:dyDescent="0.25">
      <c r="A78" s="155"/>
      <c r="B78" s="195"/>
      <c r="C78" s="196"/>
      <c r="D78" s="208"/>
      <c r="E78" s="208"/>
      <c r="F78" s="163" t="s">
        <v>11</v>
      </c>
      <c r="G78" s="166" t="s">
        <v>12</v>
      </c>
      <c r="H78" s="212">
        <f>30/365</f>
        <v>8.2191780821917804E-2</v>
      </c>
      <c r="I78" s="230">
        <v>8.2191780821917804E-2</v>
      </c>
    </row>
    <row r="79" spans="1:10" s="132" customFormat="1" ht="17" thickBot="1" x14ac:dyDescent="0.25">
      <c r="A79" s="155"/>
      <c r="B79" s="195"/>
      <c r="C79" s="196" t="s">
        <v>131</v>
      </c>
      <c r="D79" s="216">
        <f>COUNTA(68:68)</f>
        <v>2</v>
      </c>
      <c r="E79" s="208"/>
      <c r="F79" s="168" t="s">
        <v>78</v>
      </c>
      <c r="G79" s="194" t="s">
        <v>70</v>
      </c>
      <c r="H79" s="234">
        <v>1.0448755879711575</v>
      </c>
      <c r="I79" s="235">
        <v>4.3549291434934689E-2</v>
      </c>
    </row>
    <row r="80" spans="1:10" s="132" customFormat="1" ht="17" thickBot="1" x14ac:dyDescent="0.25">
      <c r="A80" s="155"/>
      <c r="B80" s="195"/>
      <c r="C80" s="196"/>
      <c r="D80" s="208"/>
      <c r="E80" s="208"/>
    </row>
    <row r="81" spans="1:9" s="132" customFormat="1" ht="17" thickBot="1" x14ac:dyDescent="0.25">
      <c r="A81" s="155"/>
      <c r="B81" s="195">
        <v>6</v>
      </c>
      <c r="C81" s="203"/>
      <c r="D81" s="204"/>
      <c r="E81" s="204" t="s">
        <v>91</v>
      </c>
      <c r="F81" s="523" t="s">
        <v>155</v>
      </c>
      <c r="G81" s="524"/>
      <c r="H81" s="277">
        <v>1</v>
      </c>
      <c r="I81" s="277">
        <v>1</v>
      </c>
    </row>
    <row r="82" spans="1:9" s="132" customFormat="1" ht="20" thickBot="1" x14ac:dyDescent="0.3">
      <c r="A82" s="155"/>
      <c r="B82" s="195"/>
      <c r="C82" s="203"/>
      <c r="D82" s="206"/>
      <c r="E82" s="206"/>
      <c r="F82" s="225"/>
      <c r="G82" s="236"/>
      <c r="H82" s="237" t="s">
        <v>61</v>
      </c>
      <c r="I82" s="238" t="s">
        <v>63</v>
      </c>
    </row>
    <row r="83" spans="1:9" s="132" customFormat="1" ht="17" thickBot="1" x14ac:dyDescent="0.25">
      <c r="A83" s="155"/>
      <c r="B83" s="195"/>
      <c r="C83" s="196"/>
      <c r="D83" s="208"/>
      <c r="E83" s="208"/>
      <c r="F83" s="239"/>
      <c r="G83" s="239"/>
      <c r="H83" s="240" t="s">
        <v>72</v>
      </c>
      <c r="I83" s="240" t="s">
        <v>73</v>
      </c>
    </row>
    <row r="84" spans="1:9" s="132" customFormat="1" ht="20" thickBot="1" x14ac:dyDescent="0.3">
      <c r="A84" s="155"/>
      <c r="B84" s="195"/>
      <c r="C84" s="196" t="s">
        <v>125</v>
      </c>
      <c r="D84" s="208">
        <f>COUNTIF(82:82,"Long Call")</f>
        <v>0</v>
      </c>
      <c r="E84" s="208"/>
      <c r="F84" s="560" t="s">
        <v>65</v>
      </c>
      <c r="G84" s="561"/>
      <c r="H84" s="241" t="s">
        <v>40</v>
      </c>
      <c r="I84" s="242" t="s">
        <v>40</v>
      </c>
    </row>
    <row r="85" spans="1:9" s="132" customFormat="1" x14ac:dyDescent="0.2">
      <c r="A85" s="155"/>
      <c r="B85" s="195"/>
      <c r="C85" s="196" t="s">
        <v>126</v>
      </c>
      <c r="D85" s="208">
        <f>COUNTIF(82:82,"Short Call")</f>
        <v>0</v>
      </c>
      <c r="E85" s="208"/>
      <c r="F85" s="243" t="s">
        <v>7</v>
      </c>
      <c r="G85" s="244" t="s">
        <v>1</v>
      </c>
      <c r="H85" s="245">
        <v>50</v>
      </c>
      <c r="I85" s="246">
        <v>50</v>
      </c>
    </row>
    <row r="86" spans="1:9" s="132" customFormat="1" x14ac:dyDescent="0.2">
      <c r="A86" s="155"/>
      <c r="B86" s="195"/>
      <c r="C86" s="196" t="s">
        <v>127</v>
      </c>
      <c r="D86" s="208">
        <f>COUNTIF(82:82,"Long Put")</f>
        <v>1</v>
      </c>
      <c r="E86" s="208"/>
      <c r="F86" s="247" t="s">
        <v>8</v>
      </c>
      <c r="G86" s="248" t="s">
        <v>3</v>
      </c>
      <c r="H86" s="249">
        <v>2E-3</v>
      </c>
      <c r="I86" s="250">
        <v>2E-3</v>
      </c>
    </row>
    <row r="87" spans="1:9" s="132" customFormat="1" x14ac:dyDescent="0.2">
      <c r="A87" s="155"/>
      <c r="B87" s="195"/>
      <c r="C87" s="196" t="s">
        <v>128</v>
      </c>
      <c r="D87" s="208">
        <f>COUNTIF(82:82,"Short Put")</f>
        <v>1</v>
      </c>
      <c r="E87" s="208"/>
      <c r="F87" s="247" t="s">
        <v>9</v>
      </c>
      <c r="G87" s="251" t="s">
        <v>4</v>
      </c>
      <c r="H87" s="250">
        <v>0</v>
      </c>
      <c r="I87" s="250">
        <v>0</v>
      </c>
    </row>
    <row r="88" spans="1:9" s="132" customFormat="1" ht="17" thickBot="1" x14ac:dyDescent="0.25">
      <c r="A88" s="155"/>
      <c r="B88" s="195"/>
      <c r="C88" s="196" t="s">
        <v>129</v>
      </c>
      <c r="D88" s="208">
        <f>COUNTIF(82:82,"Long Asset")</f>
        <v>0</v>
      </c>
      <c r="E88" s="208"/>
      <c r="F88" s="252" t="s">
        <v>10</v>
      </c>
      <c r="G88" s="253" t="s">
        <v>5</v>
      </c>
      <c r="H88" s="254">
        <v>7.0000000000000007E-2</v>
      </c>
      <c r="I88" s="254">
        <v>7.0000000000000007E-2</v>
      </c>
    </row>
    <row r="89" spans="1:9" s="132" customFormat="1" ht="17" thickBot="1" x14ac:dyDescent="0.25">
      <c r="A89" s="155"/>
      <c r="B89" s="195"/>
      <c r="C89" s="196" t="s">
        <v>130</v>
      </c>
      <c r="D89" s="208">
        <f>COUNTIF(82:82,"Short Asset")</f>
        <v>0</v>
      </c>
      <c r="E89" s="208"/>
      <c r="F89" s="255"/>
      <c r="G89" s="256"/>
      <c r="H89" s="257" t="s">
        <v>40</v>
      </c>
      <c r="I89" s="257" t="s">
        <v>40</v>
      </c>
    </row>
    <row r="90" spans="1:9" s="132" customFormat="1" ht="20" thickBot="1" x14ac:dyDescent="0.3">
      <c r="A90" s="155"/>
      <c r="B90" s="195"/>
      <c r="C90" s="196" t="s">
        <v>152</v>
      </c>
      <c r="D90" s="208">
        <f>COUNTIF(82:82,"Long Futures")</f>
        <v>0</v>
      </c>
      <c r="E90" s="208"/>
      <c r="F90" s="560" t="s">
        <v>66</v>
      </c>
      <c r="G90" s="561"/>
      <c r="H90" s="241" t="s">
        <v>40</v>
      </c>
      <c r="I90" s="257" t="s">
        <v>40</v>
      </c>
    </row>
    <row r="91" spans="1:9" s="132" customFormat="1" ht="17" thickBot="1" x14ac:dyDescent="0.25">
      <c r="A91" s="155"/>
      <c r="B91" s="195"/>
      <c r="C91" s="196" t="s">
        <v>153</v>
      </c>
      <c r="D91" s="208">
        <f>COUNTIF(82:82,"Short Futures")</f>
        <v>0</v>
      </c>
      <c r="E91" s="216"/>
      <c r="F91" s="243" t="s">
        <v>6</v>
      </c>
      <c r="G91" s="258" t="s">
        <v>2</v>
      </c>
      <c r="H91" s="245">
        <v>49</v>
      </c>
      <c r="I91" s="245">
        <v>51</v>
      </c>
    </row>
    <row r="92" spans="1:9" s="132" customFormat="1" ht="17" thickBot="1" x14ac:dyDescent="0.25">
      <c r="A92" s="155"/>
      <c r="B92" s="195"/>
      <c r="C92" s="196"/>
      <c r="D92" s="208"/>
      <c r="E92" s="208"/>
      <c r="F92" s="247" t="s">
        <v>11</v>
      </c>
      <c r="G92" s="251" t="s">
        <v>12</v>
      </c>
      <c r="H92" s="250">
        <v>8.2191781000000005E-2</v>
      </c>
      <c r="I92" s="250">
        <v>8.2191780000000006E-2</v>
      </c>
    </row>
    <row r="93" spans="1:9" s="132" customFormat="1" ht="17" thickBot="1" x14ac:dyDescent="0.25">
      <c r="A93" s="155"/>
      <c r="B93" s="195"/>
      <c r="C93" s="196" t="s">
        <v>131</v>
      </c>
      <c r="D93" s="216">
        <f>COUNTA(82:82)</f>
        <v>2</v>
      </c>
      <c r="E93" s="208"/>
      <c r="F93" s="252" t="s">
        <v>78</v>
      </c>
      <c r="G93" s="253" t="s">
        <v>70</v>
      </c>
      <c r="H93" s="259">
        <v>8.0431569999999994E-2</v>
      </c>
      <c r="I93" s="259">
        <v>1.0795421000000001</v>
      </c>
    </row>
    <row r="94" spans="1:9" s="132" customFormat="1" ht="17" thickBot="1" x14ac:dyDescent="0.25">
      <c r="A94" s="155"/>
      <c r="B94" s="195"/>
      <c r="C94" s="196"/>
      <c r="D94" s="208"/>
      <c r="E94" s="208"/>
    </row>
    <row r="95" spans="1:9" s="132" customFormat="1" ht="17" thickBot="1" x14ac:dyDescent="0.25">
      <c r="A95" s="155"/>
      <c r="B95" s="195">
        <v>7</v>
      </c>
      <c r="C95" s="203"/>
      <c r="D95" s="204"/>
      <c r="E95" s="204" t="s">
        <v>92</v>
      </c>
      <c r="F95" s="523" t="s">
        <v>155</v>
      </c>
      <c r="G95" s="524"/>
      <c r="H95" s="277">
        <v>1</v>
      </c>
      <c r="I95" s="277">
        <v>1</v>
      </c>
    </row>
    <row r="96" spans="1:9" s="132" customFormat="1" ht="20" thickBot="1" x14ac:dyDescent="0.3">
      <c r="A96" s="155"/>
      <c r="B96" s="195"/>
      <c r="C96" s="203"/>
      <c r="D96" s="206"/>
      <c r="E96" s="206"/>
      <c r="F96" s="225"/>
      <c r="G96" s="145"/>
      <c r="H96" s="146" t="s">
        <v>62</v>
      </c>
      <c r="I96" s="146" t="s">
        <v>117</v>
      </c>
    </row>
    <row r="97" spans="1:9" s="132" customFormat="1" ht="17" thickBot="1" x14ac:dyDescent="0.25">
      <c r="A97" s="155"/>
      <c r="B97" s="195"/>
      <c r="C97" s="196"/>
      <c r="D97" s="208"/>
      <c r="E97" s="208"/>
      <c r="F97" s="148"/>
      <c r="G97" s="148"/>
      <c r="H97" s="149" t="s">
        <v>75</v>
      </c>
      <c r="I97" s="149" t="s">
        <v>120</v>
      </c>
    </row>
    <row r="98" spans="1:9" s="132" customFormat="1" ht="20" thickBot="1" x14ac:dyDescent="0.3">
      <c r="A98" s="155"/>
      <c r="B98" s="195"/>
      <c r="C98" s="196" t="s">
        <v>125</v>
      </c>
      <c r="D98" s="208">
        <f>COUNTIF(96:96,"Long Call")</f>
        <v>0</v>
      </c>
      <c r="E98" s="208"/>
      <c r="F98" s="556" t="s">
        <v>65</v>
      </c>
      <c r="G98" s="557"/>
      <c r="H98" s="152" t="s">
        <v>40</v>
      </c>
      <c r="I98" s="153" t="s">
        <v>40</v>
      </c>
    </row>
    <row r="99" spans="1:9" s="132" customFormat="1" x14ac:dyDescent="0.2">
      <c r="A99" s="155"/>
      <c r="B99" s="195"/>
      <c r="C99" s="196" t="s">
        <v>126</v>
      </c>
      <c r="D99" s="208">
        <f>COUNTIF(96:96,"Short Call")</f>
        <v>1</v>
      </c>
      <c r="E99" s="208"/>
      <c r="F99" s="157" t="s">
        <v>7</v>
      </c>
      <c r="G99" s="158" t="s">
        <v>1</v>
      </c>
      <c r="H99" s="210">
        <v>40</v>
      </c>
      <c r="I99" s="228">
        <v>40</v>
      </c>
    </row>
    <row r="100" spans="1:9" s="132" customFormat="1" x14ac:dyDescent="0.2">
      <c r="A100" s="155"/>
      <c r="B100" s="195"/>
      <c r="C100" s="196" t="s">
        <v>127</v>
      </c>
      <c r="D100" s="208">
        <f>COUNTIF(96:96,"Long Put")</f>
        <v>0</v>
      </c>
      <c r="E100" s="208"/>
      <c r="F100" s="163" t="s">
        <v>8</v>
      </c>
      <c r="G100" s="164" t="s">
        <v>3</v>
      </c>
      <c r="H100" s="211">
        <v>2E-3</v>
      </c>
      <c r="I100" s="230">
        <v>2E-3</v>
      </c>
    </row>
    <row r="101" spans="1:9" s="132" customFormat="1" x14ac:dyDescent="0.2">
      <c r="A101" s="155"/>
      <c r="B101" s="195"/>
      <c r="C101" s="196" t="s">
        <v>128</v>
      </c>
      <c r="D101" s="208">
        <f>COUNTIF(96:96,"Short Put")</f>
        <v>0</v>
      </c>
      <c r="E101" s="208"/>
      <c r="F101" s="163" t="s">
        <v>9</v>
      </c>
      <c r="G101" s="166" t="s">
        <v>4</v>
      </c>
      <c r="H101" s="212">
        <v>0</v>
      </c>
      <c r="I101" s="230">
        <v>0</v>
      </c>
    </row>
    <row r="102" spans="1:9" s="132" customFormat="1" ht="17" thickBot="1" x14ac:dyDescent="0.25">
      <c r="A102" s="155"/>
      <c r="B102" s="195"/>
      <c r="C102" s="196" t="s">
        <v>129</v>
      </c>
      <c r="D102" s="208">
        <f>COUNTIF(96:96,"Long Asset")</f>
        <v>1</v>
      </c>
      <c r="E102" s="208"/>
      <c r="F102" s="168" t="s">
        <v>10</v>
      </c>
      <c r="G102" s="194" t="s">
        <v>5</v>
      </c>
      <c r="H102" s="213">
        <v>7.0000000000000007E-2</v>
      </c>
      <c r="I102" s="231">
        <v>7.0000000000000007E-2</v>
      </c>
    </row>
    <row r="103" spans="1:9" s="132" customFormat="1" ht="17" thickBot="1" x14ac:dyDescent="0.25">
      <c r="A103" s="155"/>
      <c r="B103" s="195"/>
      <c r="C103" s="196" t="s">
        <v>130</v>
      </c>
      <c r="D103" s="208">
        <f>COUNTIF(96:96,"Short Asset")</f>
        <v>0</v>
      </c>
      <c r="E103" s="208"/>
      <c r="F103" s="171"/>
      <c r="G103" s="172"/>
      <c r="H103" s="232" t="s">
        <v>40</v>
      </c>
      <c r="I103" s="122" t="s">
        <v>40</v>
      </c>
    </row>
    <row r="104" spans="1:9" s="132" customFormat="1" ht="20" thickBot="1" x14ac:dyDescent="0.3">
      <c r="A104" s="155"/>
      <c r="B104" s="195"/>
      <c r="C104" s="196" t="s">
        <v>152</v>
      </c>
      <c r="D104" s="208">
        <f>COUNTIF(96:96,"Long Futures")</f>
        <v>0</v>
      </c>
      <c r="E104" s="208"/>
      <c r="F104" s="558" t="s">
        <v>66</v>
      </c>
      <c r="G104" s="559"/>
      <c r="H104" s="233" t="s">
        <v>40</v>
      </c>
      <c r="I104" s="122" t="s">
        <v>40</v>
      </c>
    </row>
    <row r="105" spans="1:9" s="132" customFormat="1" ht="17" thickBot="1" x14ac:dyDescent="0.25">
      <c r="A105" s="155"/>
      <c r="B105" s="195"/>
      <c r="C105" s="196" t="s">
        <v>153</v>
      </c>
      <c r="D105" s="208">
        <f>COUNTIF(96:96,"Short Futures")</f>
        <v>0</v>
      </c>
      <c r="E105" s="216"/>
      <c r="F105" s="157" t="s">
        <v>6</v>
      </c>
      <c r="G105" s="175" t="s">
        <v>2</v>
      </c>
      <c r="H105" s="210">
        <v>40</v>
      </c>
      <c r="I105" s="245" t="s">
        <v>114</v>
      </c>
    </row>
    <row r="106" spans="1:9" s="132" customFormat="1" ht="17" thickBot="1" x14ac:dyDescent="0.25">
      <c r="A106" s="155"/>
      <c r="B106" s="195"/>
      <c r="C106" s="196"/>
      <c r="D106" s="208"/>
      <c r="E106" s="208"/>
      <c r="F106" s="163" t="s">
        <v>11</v>
      </c>
      <c r="G106" s="166" t="s">
        <v>12</v>
      </c>
      <c r="H106" s="212">
        <f>30/365</f>
        <v>8.2191780821917804E-2</v>
      </c>
      <c r="I106" s="250" t="s">
        <v>114</v>
      </c>
    </row>
    <row r="107" spans="1:9" s="132" customFormat="1" ht="17" thickBot="1" x14ac:dyDescent="0.25">
      <c r="A107" s="155"/>
      <c r="B107" s="195"/>
      <c r="C107" s="196" t="s">
        <v>131</v>
      </c>
      <c r="D107" s="216">
        <f>COUNTA(96:96)</f>
        <v>2</v>
      </c>
      <c r="E107" s="208"/>
      <c r="F107" s="168" t="s">
        <v>78</v>
      </c>
      <c r="G107" s="194" t="s">
        <v>70</v>
      </c>
      <c r="H107" s="234">
        <v>0.3235114019143403</v>
      </c>
      <c r="I107" s="259">
        <v>40</v>
      </c>
    </row>
    <row r="108" spans="1:9" s="132" customFormat="1" ht="17" thickBot="1" x14ac:dyDescent="0.25">
      <c r="A108" s="155"/>
      <c r="B108" s="195"/>
      <c r="C108" s="196"/>
      <c r="D108" s="208"/>
      <c r="E108" s="208"/>
    </row>
    <row r="109" spans="1:9" s="132" customFormat="1" ht="17" thickBot="1" x14ac:dyDescent="0.25">
      <c r="A109" s="155"/>
      <c r="B109" s="195">
        <v>8</v>
      </c>
      <c r="C109" s="203"/>
      <c r="D109" s="204"/>
      <c r="E109" s="204" t="s">
        <v>93</v>
      </c>
      <c r="F109" s="523" t="s">
        <v>155</v>
      </c>
      <c r="G109" s="524"/>
      <c r="H109" s="277">
        <v>1</v>
      </c>
      <c r="I109" s="277">
        <v>1</v>
      </c>
    </row>
    <row r="110" spans="1:9" s="132" customFormat="1" ht="20" thickBot="1" x14ac:dyDescent="0.3">
      <c r="A110" s="155"/>
      <c r="B110" s="195"/>
      <c r="C110" s="203"/>
      <c r="D110" s="206"/>
      <c r="E110" s="206"/>
      <c r="F110" s="225"/>
      <c r="G110" s="260"/>
      <c r="H110" s="261" t="s">
        <v>61</v>
      </c>
      <c r="I110" s="262" t="s">
        <v>117</v>
      </c>
    </row>
    <row r="111" spans="1:9" s="132" customFormat="1" ht="17" thickBot="1" x14ac:dyDescent="0.25">
      <c r="A111" s="155"/>
      <c r="B111" s="195"/>
      <c r="C111" s="196"/>
      <c r="D111" s="208"/>
      <c r="E111" s="208"/>
      <c r="F111" s="239"/>
      <c r="G111" s="239"/>
      <c r="H111" s="240" t="s">
        <v>72</v>
      </c>
      <c r="I111" s="240" t="s">
        <v>120</v>
      </c>
    </row>
    <row r="112" spans="1:9" s="132" customFormat="1" ht="20" thickBot="1" x14ac:dyDescent="0.3">
      <c r="A112" s="155"/>
      <c r="B112" s="195"/>
      <c r="C112" s="196" t="s">
        <v>125</v>
      </c>
      <c r="D112" s="208">
        <f>COUNTIF(110:110,"Long Call")</f>
        <v>0</v>
      </c>
      <c r="E112" s="208"/>
      <c r="F112" s="560" t="s">
        <v>65</v>
      </c>
      <c r="G112" s="561"/>
      <c r="H112" s="241" t="s">
        <v>40</v>
      </c>
      <c r="I112" s="242" t="s">
        <v>40</v>
      </c>
    </row>
    <row r="113" spans="1:10" s="132" customFormat="1" x14ac:dyDescent="0.2">
      <c r="A113" s="155"/>
      <c r="B113" s="195"/>
      <c r="C113" s="196" t="s">
        <v>126</v>
      </c>
      <c r="D113" s="208">
        <f>COUNTIF(110:110,"Short Call")</f>
        <v>0</v>
      </c>
      <c r="E113" s="208"/>
      <c r="F113" s="243" t="s">
        <v>7</v>
      </c>
      <c r="G113" s="244" t="s">
        <v>1</v>
      </c>
      <c r="H113" s="245">
        <v>50</v>
      </c>
      <c r="I113" s="246">
        <v>50</v>
      </c>
    </row>
    <row r="114" spans="1:10" s="132" customFormat="1" x14ac:dyDescent="0.2">
      <c r="A114" s="155"/>
      <c r="B114" s="195"/>
      <c r="C114" s="196" t="s">
        <v>127</v>
      </c>
      <c r="D114" s="208">
        <f>COUNTIF(110:110,"Long Put")</f>
        <v>1</v>
      </c>
      <c r="E114" s="208"/>
      <c r="F114" s="247" t="s">
        <v>8</v>
      </c>
      <c r="G114" s="248" t="s">
        <v>3</v>
      </c>
      <c r="H114" s="249">
        <v>2E-3</v>
      </c>
      <c r="I114" s="250">
        <v>2E-3</v>
      </c>
    </row>
    <row r="115" spans="1:10" s="132" customFormat="1" x14ac:dyDescent="0.2">
      <c r="A115" s="155"/>
      <c r="B115" s="195"/>
      <c r="C115" s="196" t="s">
        <v>128</v>
      </c>
      <c r="D115" s="208">
        <f>COUNTIF(110:110,"Short Put")</f>
        <v>0</v>
      </c>
      <c r="E115" s="208"/>
      <c r="F115" s="247" t="s">
        <v>9</v>
      </c>
      <c r="G115" s="251" t="s">
        <v>4</v>
      </c>
      <c r="H115" s="250">
        <v>0</v>
      </c>
      <c r="I115" s="250">
        <v>0</v>
      </c>
    </row>
    <row r="116" spans="1:10" s="132" customFormat="1" ht="17" thickBot="1" x14ac:dyDescent="0.25">
      <c r="A116" s="155"/>
      <c r="B116" s="195"/>
      <c r="C116" s="196" t="s">
        <v>129</v>
      </c>
      <c r="D116" s="208">
        <f>COUNTIF(110:110,"Long Asset")</f>
        <v>1</v>
      </c>
      <c r="E116" s="208"/>
      <c r="F116" s="252" t="s">
        <v>10</v>
      </c>
      <c r="G116" s="253" t="s">
        <v>5</v>
      </c>
      <c r="H116" s="254">
        <v>7.0000000000000007E-2</v>
      </c>
      <c r="I116" s="254">
        <v>7.0000000000000007E-2</v>
      </c>
    </row>
    <row r="117" spans="1:10" s="132" customFormat="1" ht="17" thickBot="1" x14ac:dyDescent="0.25">
      <c r="A117" s="155"/>
      <c r="B117" s="195"/>
      <c r="C117" s="196" t="s">
        <v>130</v>
      </c>
      <c r="D117" s="208">
        <f>COUNTIF(110:110,"Short Asset")</f>
        <v>0</v>
      </c>
      <c r="E117" s="208"/>
      <c r="F117" s="255"/>
      <c r="G117" s="256"/>
      <c r="H117" s="257" t="s">
        <v>40</v>
      </c>
      <c r="I117" s="257" t="s">
        <v>40</v>
      </c>
    </row>
    <row r="118" spans="1:10" s="132" customFormat="1" ht="20" thickBot="1" x14ac:dyDescent="0.3">
      <c r="A118" s="155"/>
      <c r="B118" s="195"/>
      <c r="C118" s="196" t="s">
        <v>152</v>
      </c>
      <c r="D118" s="208">
        <f>COUNTIF(110:110,"Long Futures")</f>
        <v>0</v>
      </c>
      <c r="E118" s="208"/>
      <c r="F118" s="560" t="s">
        <v>66</v>
      </c>
      <c r="G118" s="561"/>
      <c r="H118" s="241" t="s">
        <v>40</v>
      </c>
      <c r="I118" s="257" t="s">
        <v>40</v>
      </c>
    </row>
    <row r="119" spans="1:10" s="132" customFormat="1" ht="17" thickBot="1" x14ac:dyDescent="0.25">
      <c r="A119" s="155"/>
      <c r="B119" s="195"/>
      <c r="C119" s="196" t="s">
        <v>153</v>
      </c>
      <c r="D119" s="208">
        <f>COUNTIF(110:110,"Short Futures")</f>
        <v>0</v>
      </c>
      <c r="E119" s="216"/>
      <c r="F119" s="243" t="s">
        <v>6</v>
      </c>
      <c r="G119" s="258" t="s">
        <v>2</v>
      </c>
      <c r="H119" s="245">
        <v>50</v>
      </c>
      <c r="I119" s="245" t="s">
        <v>114</v>
      </c>
    </row>
    <row r="120" spans="1:10" s="132" customFormat="1" ht="17" thickBot="1" x14ac:dyDescent="0.25">
      <c r="A120" s="155"/>
      <c r="B120" s="195"/>
      <c r="C120" s="196"/>
      <c r="D120" s="208"/>
      <c r="E120" s="208"/>
      <c r="F120" s="247" t="s">
        <v>11</v>
      </c>
      <c r="G120" s="251" t="s">
        <v>12</v>
      </c>
      <c r="H120" s="250">
        <v>8.2191781000000005E-2</v>
      </c>
      <c r="I120" s="250" t="s">
        <v>114</v>
      </c>
    </row>
    <row r="121" spans="1:10" s="132" customFormat="1" ht="17" thickBot="1" x14ac:dyDescent="0.25">
      <c r="A121" s="155"/>
      <c r="B121" s="195"/>
      <c r="C121" s="196" t="s">
        <v>131</v>
      </c>
      <c r="D121" s="216">
        <f>COUNTA(110:110)</f>
        <v>2</v>
      </c>
      <c r="E121" s="208"/>
      <c r="F121" s="252" t="s">
        <v>78</v>
      </c>
      <c r="G121" s="253" t="s">
        <v>70</v>
      </c>
      <c r="H121" s="259">
        <v>8.0431569999999994E-2</v>
      </c>
      <c r="I121" s="259">
        <v>50</v>
      </c>
    </row>
    <row r="122" spans="1:10" s="132" customFormat="1" ht="17" thickBot="1" x14ac:dyDescent="0.25">
      <c r="A122" s="155"/>
      <c r="B122" s="195"/>
      <c r="C122" s="196"/>
      <c r="D122" s="208"/>
      <c r="E122" s="208"/>
    </row>
    <row r="123" spans="1:10" s="132" customFormat="1" ht="17" thickBot="1" x14ac:dyDescent="0.25">
      <c r="A123" s="155"/>
      <c r="B123" s="195">
        <v>9</v>
      </c>
      <c r="C123" s="203"/>
      <c r="D123" s="204"/>
      <c r="E123" s="204" t="s">
        <v>94</v>
      </c>
      <c r="F123" s="523" t="s">
        <v>155</v>
      </c>
      <c r="G123" s="524"/>
      <c r="H123" s="277">
        <v>1</v>
      </c>
      <c r="I123" s="277">
        <v>1</v>
      </c>
      <c r="J123" s="277">
        <v>1</v>
      </c>
    </row>
    <row r="124" spans="1:10" s="132" customFormat="1" ht="20" thickBot="1" x14ac:dyDescent="0.3">
      <c r="A124" s="155"/>
      <c r="B124" s="195"/>
      <c r="C124" s="203"/>
      <c r="D124" s="206"/>
      <c r="E124" s="206"/>
      <c r="F124" s="225"/>
      <c r="G124" s="260"/>
      <c r="H124" s="261" t="s">
        <v>62</v>
      </c>
      <c r="I124" s="262" t="s">
        <v>61</v>
      </c>
      <c r="J124" s="262" t="s">
        <v>117</v>
      </c>
    </row>
    <row r="125" spans="1:10" s="132" customFormat="1" ht="17" thickBot="1" x14ac:dyDescent="0.25">
      <c r="A125" s="155"/>
      <c r="B125" s="195"/>
      <c r="C125" s="196"/>
      <c r="D125" s="208"/>
      <c r="E125" s="208"/>
      <c r="F125" s="239"/>
      <c r="G125" s="239"/>
      <c r="H125" s="240" t="s">
        <v>75</v>
      </c>
      <c r="I125" s="240" t="s">
        <v>72</v>
      </c>
      <c r="J125" s="240" t="s">
        <v>120</v>
      </c>
    </row>
    <row r="126" spans="1:10" s="132" customFormat="1" ht="20" thickBot="1" x14ac:dyDescent="0.3">
      <c r="A126" s="155"/>
      <c r="B126" s="195"/>
      <c r="C126" s="196" t="s">
        <v>125</v>
      </c>
      <c r="D126" s="208">
        <f>COUNTIF(124:124,"Long Call")</f>
        <v>0</v>
      </c>
      <c r="E126" s="208"/>
      <c r="F126" s="560" t="s">
        <v>65</v>
      </c>
      <c r="G126" s="561"/>
      <c r="H126" s="241" t="s">
        <v>40</v>
      </c>
      <c r="I126" s="242" t="s">
        <v>40</v>
      </c>
      <c r="J126" s="242" t="s">
        <v>40</v>
      </c>
    </row>
    <row r="127" spans="1:10" s="132" customFormat="1" x14ac:dyDescent="0.2">
      <c r="A127" s="155"/>
      <c r="B127" s="195"/>
      <c r="C127" s="196" t="s">
        <v>126</v>
      </c>
      <c r="D127" s="208">
        <f>COUNTIF(124:124,"Short Call")</f>
        <v>1</v>
      </c>
      <c r="E127" s="208"/>
      <c r="F127" s="243" t="s">
        <v>7</v>
      </c>
      <c r="G127" s="244" t="s">
        <v>1</v>
      </c>
      <c r="H127" s="245">
        <v>50</v>
      </c>
      <c r="I127" s="246">
        <v>50</v>
      </c>
      <c r="J127" s="245">
        <v>50</v>
      </c>
    </row>
    <row r="128" spans="1:10" s="132" customFormat="1" x14ac:dyDescent="0.2">
      <c r="A128" s="155"/>
      <c r="B128" s="195"/>
      <c r="C128" s="196" t="s">
        <v>127</v>
      </c>
      <c r="D128" s="208">
        <f>COUNTIF(124:124,"Long Put")</f>
        <v>1</v>
      </c>
      <c r="E128" s="208"/>
      <c r="F128" s="247" t="s">
        <v>8</v>
      </c>
      <c r="G128" s="248" t="s">
        <v>3</v>
      </c>
      <c r="H128" s="249">
        <v>2E-3</v>
      </c>
      <c r="I128" s="250">
        <v>2E-3</v>
      </c>
      <c r="J128" s="250">
        <v>2E-3</v>
      </c>
    </row>
    <row r="129" spans="1:10" s="132" customFormat="1" x14ac:dyDescent="0.2">
      <c r="A129" s="155"/>
      <c r="B129" s="195"/>
      <c r="C129" s="196" t="s">
        <v>128</v>
      </c>
      <c r="D129" s="208">
        <f>COUNTIF(124:124,"Short Put")</f>
        <v>0</v>
      </c>
      <c r="E129" s="208"/>
      <c r="F129" s="247" t="s">
        <v>9</v>
      </c>
      <c r="G129" s="251" t="s">
        <v>4</v>
      </c>
      <c r="H129" s="250">
        <v>0</v>
      </c>
      <c r="I129" s="250">
        <v>0</v>
      </c>
      <c r="J129" s="250">
        <v>0</v>
      </c>
    </row>
    <row r="130" spans="1:10" s="132" customFormat="1" ht="17" thickBot="1" x14ac:dyDescent="0.25">
      <c r="A130" s="155"/>
      <c r="B130" s="195"/>
      <c r="C130" s="196" t="s">
        <v>129</v>
      </c>
      <c r="D130" s="208">
        <f>COUNTIF(124:124,"Long Asset")</f>
        <v>1</v>
      </c>
      <c r="E130" s="208"/>
      <c r="F130" s="252" t="s">
        <v>10</v>
      </c>
      <c r="G130" s="253" t="s">
        <v>5</v>
      </c>
      <c r="H130" s="254">
        <v>7.0000000000000007E-2</v>
      </c>
      <c r="I130" s="254">
        <v>7.0000000000000007E-2</v>
      </c>
      <c r="J130" s="254">
        <v>7.0000000000000007E-2</v>
      </c>
    </row>
    <row r="131" spans="1:10" s="132" customFormat="1" ht="17" thickBot="1" x14ac:dyDescent="0.25">
      <c r="A131" s="155"/>
      <c r="B131" s="195"/>
      <c r="C131" s="196" t="s">
        <v>130</v>
      </c>
      <c r="D131" s="208">
        <f>COUNTIF(124:124,"Short Asset")</f>
        <v>0</v>
      </c>
      <c r="E131" s="208"/>
      <c r="F131" s="255"/>
      <c r="G131" s="256"/>
      <c r="H131" s="257" t="s">
        <v>40</v>
      </c>
      <c r="I131" s="257" t="s">
        <v>40</v>
      </c>
      <c r="J131" s="257" t="s">
        <v>40</v>
      </c>
    </row>
    <row r="132" spans="1:10" s="132" customFormat="1" ht="20" thickBot="1" x14ac:dyDescent="0.3">
      <c r="A132" s="155"/>
      <c r="B132" s="195"/>
      <c r="C132" s="196" t="s">
        <v>152</v>
      </c>
      <c r="D132" s="208">
        <f>COUNTIF(124:124,"Long Futures")</f>
        <v>0</v>
      </c>
      <c r="E132" s="208"/>
      <c r="F132" s="560" t="s">
        <v>66</v>
      </c>
      <c r="G132" s="561"/>
      <c r="H132" s="241" t="s">
        <v>40</v>
      </c>
      <c r="I132" s="257" t="s">
        <v>40</v>
      </c>
      <c r="J132" s="257" t="s">
        <v>40</v>
      </c>
    </row>
    <row r="133" spans="1:10" s="132" customFormat="1" ht="17" thickBot="1" x14ac:dyDescent="0.25">
      <c r="A133" s="155"/>
      <c r="B133" s="195"/>
      <c r="C133" s="196" t="s">
        <v>153</v>
      </c>
      <c r="D133" s="208">
        <f>COUNTIF(124:124,"Short Futures")</f>
        <v>0</v>
      </c>
      <c r="E133" s="216"/>
      <c r="F133" s="243" t="s">
        <v>6</v>
      </c>
      <c r="G133" s="258" t="s">
        <v>2</v>
      </c>
      <c r="H133" s="245">
        <v>51</v>
      </c>
      <c r="I133" s="245">
        <v>49</v>
      </c>
      <c r="J133" s="245" t="s">
        <v>114</v>
      </c>
    </row>
    <row r="134" spans="1:10" s="132" customFormat="1" ht="17" thickBot="1" x14ac:dyDescent="0.25">
      <c r="A134" s="155"/>
      <c r="B134" s="195"/>
      <c r="C134" s="196"/>
      <c r="D134" s="208"/>
      <c r="E134" s="208"/>
      <c r="F134" s="247" t="s">
        <v>11</v>
      </c>
      <c r="G134" s="251" t="s">
        <v>12</v>
      </c>
      <c r="H134" s="250">
        <v>8.2191781000000005E-2</v>
      </c>
      <c r="I134" s="250">
        <v>8.2191780000000006E-2</v>
      </c>
      <c r="J134" s="250" t="s">
        <v>114</v>
      </c>
    </row>
    <row r="135" spans="1:10" s="132" customFormat="1" ht="17" thickBot="1" x14ac:dyDescent="0.25">
      <c r="A135" s="155"/>
      <c r="B135" s="195"/>
      <c r="C135" s="196" t="s">
        <v>131</v>
      </c>
      <c r="D135" s="216">
        <f>COUNTA(124:124)</f>
        <v>3</v>
      </c>
      <c r="E135" s="208"/>
      <c r="F135" s="252" t="s">
        <v>78</v>
      </c>
      <c r="G135" s="253" t="s">
        <v>70</v>
      </c>
      <c r="H135" s="259">
        <v>8.7924977000000001E-2</v>
      </c>
      <c r="I135" s="259">
        <v>8.0431569999999994E-2</v>
      </c>
      <c r="J135" s="259">
        <v>50</v>
      </c>
    </row>
    <row r="136" spans="1:10" s="132" customFormat="1" ht="17" thickBot="1" x14ac:dyDescent="0.25">
      <c r="A136" s="155"/>
      <c r="B136" s="195"/>
      <c r="C136" s="196"/>
      <c r="D136" s="208"/>
      <c r="E136" s="208"/>
    </row>
    <row r="137" spans="1:10" s="132" customFormat="1" ht="17" thickBot="1" x14ac:dyDescent="0.25">
      <c r="A137" s="155"/>
      <c r="B137" s="195">
        <v>10</v>
      </c>
      <c r="C137" s="203"/>
      <c r="D137" s="204"/>
      <c r="E137" s="204" t="s">
        <v>62</v>
      </c>
      <c r="F137" s="523" t="s">
        <v>155</v>
      </c>
      <c r="G137" s="524"/>
      <c r="H137" s="277">
        <v>1</v>
      </c>
    </row>
    <row r="138" spans="1:10" s="132" customFormat="1" ht="20" thickBot="1" x14ac:dyDescent="0.3">
      <c r="A138" s="155"/>
      <c r="B138" s="195"/>
      <c r="C138" s="203"/>
      <c r="D138" s="206"/>
      <c r="E138" s="206"/>
      <c r="F138" s="225"/>
      <c r="G138" s="260"/>
      <c r="H138" s="261" t="s">
        <v>62</v>
      </c>
    </row>
    <row r="139" spans="1:10" s="132" customFormat="1" ht="17" thickBot="1" x14ac:dyDescent="0.25">
      <c r="A139" s="155"/>
      <c r="B139" s="195"/>
      <c r="C139" s="196"/>
      <c r="D139" s="208"/>
      <c r="E139" s="208"/>
      <c r="F139" s="239"/>
      <c r="G139" s="239"/>
      <c r="H139" s="240" t="s">
        <v>75</v>
      </c>
    </row>
    <row r="140" spans="1:10" s="132" customFormat="1" ht="20" thickBot="1" x14ac:dyDescent="0.3">
      <c r="A140" s="155"/>
      <c r="B140" s="195"/>
      <c r="C140" s="196" t="s">
        <v>125</v>
      </c>
      <c r="D140" s="208">
        <f>COUNTIF(138:138,"Long Call")</f>
        <v>0</v>
      </c>
      <c r="E140" s="208"/>
      <c r="F140" s="560" t="s">
        <v>65</v>
      </c>
      <c r="G140" s="561"/>
      <c r="H140" s="241" t="s">
        <v>40</v>
      </c>
    </row>
    <row r="141" spans="1:10" s="132" customFormat="1" x14ac:dyDescent="0.2">
      <c r="A141" s="155"/>
      <c r="B141" s="195"/>
      <c r="C141" s="196" t="s">
        <v>126</v>
      </c>
      <c r="D141" s="208">
        <f>COUNTIF(138:138,"Short Call")</f>
        <v>1</v>
      </c>
      <c r="E141" s="208"/>
      <c r="F141" s="243" t="s">
        <v>7</v>
      </c>
      <c r="G141" s="244" t="s">
        <v>1</v>
      </c>
      <c r="H141" s="245">
        <v>45</v>
      </c>
    </row>
    <row r="142" spans="1:10" s="132" customFormat="1" x14ac:dyDescent="0.2">
      <c r="A142" s="155"/>
      <c r="B142" s="195"/>
      <c r="C142" s="196" t="s">
        <v>127</v>
      </c>
      <c r="D142" s="208">
        <f>COUNTIF(138:138,"Long Put")</f>
        <v>0</v>
      </c>
      <c r="E142" s="208"/>
      <c r="F142" s="247" t="s">
        <v>8</v>
      </c>
      <c r="G142" s="248" t="s">
        <v>3</v>
      </c>
      <c r="H142" s="249">
        <v>2E-3</v>
      </c>
    </row>
    <row r="143" spans="1:10" s="132" customFormat="1" x14ac:dyDescent="0.2">
      <c r="A143" s="155"/>
      <c r="B143" s="195"/>
      <c r="C143" s="196" t="s">
        <v>128</v>
      </c>
      <c r="D143" s="208">
        <f>COUNTIF(138:138,"Short Put")</f>
        <v>0</v>
      </c>
      <c r="E143" s="208"/>
      <c r="F143" s="247" t="s">
        <v>9</v>
      </c>
      <c r="G143" s="251" t="s">
        <v>4</v>
      </c>
      <c r="H143" s="250">
        <v>0</v>
      </c>
    </row>
    <row r="144" spans="1:10" s="132" customFormat="1" ht="17" thickBot="1" x14ac:dyDescent="0.25">
      <c r="A144" s="155"/>
      <c r="B144" s="195"/>
      <c r="C144" s="196" t="s">
        <v>129</v>
      </c>
      <c r="D144" s="208">
        <f>COUNTIF(138:138,"Long Asset")</f>
        <v>0</v>
      </c>
      <c r="E144" s="208"/>
      <c r="F144" s="252" t="s">
        <v>10</v>
      </c>
      <c r="G144" s="253" t="s">
        <v>5</v>
      </c>
      <c r="H144" s="254">
        <v>7.0000000000000007E-2</v>
      </c>
    </row>
    <row r="145" spans="1:8" s="132" customFormat="1" ht="17" thickBot="1" x14ac:dyDescent="0.25">
      <c r="A145" s="155"/>
      <c r="B145" s="195"/>
      <c r="C145" s="196" t="s">
        <v>130</v>
      </c>
      <c r="D145" s="208">
        <f>COUNTIF(138:138,"Short Asset")</f>
        <v>0</v>
      </c>
      <c r="E145" s="208"/>
      <c r="F145" s="255"/>
      <c r="G145" s="256"/>
      <c r="H145" s="257" t="s">
        <v>40</v>
      </c>
    </row>
    <row r="146" spans="1:8" s="132" customFormat="1" ht="20" thickBot="1" x14ac:dyDescent="0.3">
      <c r="A146" s="155"/>
      <c r="B146" s="195"/>
      <c r="C146" s="196" t="s">
        <v>152</v>
      </c>
      <c r="D146" s="208">
        <f>COUNTIF(138:138,"Long Futures")</f>
        <v>0</v>
      </c>
      <c r="E146" s="208"/>
      <c r="F146" s="560" t="s">
        <v>66</v>
      </c>
      <c r="G146" s="561"/>
      <c r="H146" s="241" t="s">
        <v>40</v>
      </c>
    </row>
    <row r="147" spans="1:8" s="132" customFormat="1" ht="17" thickBot="1" x14ac:dyDescent="0.25">
      <c r="A147" s="155"/>
      <c r="B147" s="195"/>
      <c r="C147" s="196" t="s">
        <v>153</v>
      </c>
      <c r="D147" s="208">
        <f>COUNTIF(138:138,"Short Futures")</f>
        <v>0</v>
      </c>
      <c r="E147" s="216"/>
      <c r="F147" s="243" t="s">
        <v>6</v>
      </c>
      <c r="G147" s="258" t="s">
        <v>2</v>
      </c>
      <c r="H147" s="245">
        <v>45</v>
      </c>
    </row>
    <row r="148" spans="1:8" s="132" customFormat="1" ht="17" thickBot="1" x14ac:dyDescent="0.25">
      <c r="A148" s="155"/>
      <c r="B148" s="195"/>
      <c r="C148" s="196"/>
      <c r="D148" s="208"/>
      <c r="E148" s="208"/>
      <c r="F148" s="247" t="s">
        <v>11</v>
      </c>
      <c r="G148" s="251" t="s">
        <v>12</v>
      </c>
      <c r="H148" s="250">
        <v>8.2191781000000005E-2</v>
      </c>
    </row>
    <row r="149" spans="1:8" s="132" customFormat="1" ht="17" thickBot="1" x14ac:dyDescent="0.25">
      <c r="A149" s="155"/>
      <c r="B149" s="195"/>
      <c r="C149" s="196" t="s">
        <v>131</v>
      </c>
      <c r="D149" s="216">
        <f>COUNTA(138:138)</f>
        <v>1</v>
      </c>
      <c r="E149" s="208"/>
      <c r="F149" s="252" t="s">
        <v>78</v>
      </c>
      <c r="G149" s="253" t="s">
        <v>70</v>
      </c>
      <c r="H149" s="259">
        <v>0.36395032700000002</v>
      </c>
    </row>
    <row r="150" spans="1:8" s="132" customFormat="1" ht="17" thickBot="1" x14ac:dyDescent="0.25">
      <c r="A150" s="155"/>
      <c r="B150" s="195"/>
      <c r="C150" s="196"/>
      <c r="D150" s="208"/>
      <c r="E150" s="208"/>
    </row>
    <row r="151" spans="1:8" s="132" customFormat="1" ht="17" thickBot="1" x14ac:dyDescent="0.25">
      <c r="A151" s="155"/>
      <c r="B151" s="195">
        <v>11</v>
      </c>
      <c r="C151" s="203"/>
      <c r="D151" s="204"/>
      <c r="E151" s="204" t="s">
        <v>61</v>
      </c>
      <c r="F151" s="523" t="s">
        <v>155</v>
      </c>
      <c r="G151" s="524"/>
      <c r="H151" s="277">
        <v>1</v>
      </c>
    </row>
    <row r="152" spans="1:8" s="132" customFormat="1" ht="20" thickBot="1" x14ac:dyDescent="0.3">
      <c r="A152" s="155"/>
      <c r="B152" s="195"/>
      <c r="C152" s="203"/>
      <c r="D152" s="206"/>
      <c r="E152" s="206"/>
      <c r="F152" s="225"/>
      <c r="G152" s="260"/>
      <c r="H152" s="261" t="s">
        <v>61</v>
      </c>
    </row>
    <row r="153" spans="1:8" s="132" customFormat="1" ht="17" thickBot="1" x14ac:dyDescent="0.25">
      <c r="A153" s="155"/>
      <c r="B153" s="195"/>
      <c r="C153" s="196"/>
      <c r="D153" s="208"/>
      <c r="E153" s="208"/>
      <c r="F153" s="239"/>
      <c r="G153" s="239"/>
      <c r="H153" s="240" t="s">
        <v>72</v>
      </c>
    </row>
    <row r="154" spans="1:8" s="132" customFormat="1" ht="20" thickBot="1" x14ac:dyDescent="0.3">
      <c r="A154" s="155"/>
      <c r="B154" s="195"/>
      <c r="C154" s="196" t="s">
        <v>125</v>
      </c>
      <c r="D154" s="208">
        <f>COUNTIF(152:152,"Long Call")</f>
        <v>0</v>
      </c>
      <c r="E154" s="208"/>
      <c r="F154" s="560" t="s">
        <v>65</v>
      </c>
      <c r="G154" s="561"/>
      <c r="H154" s="241" t="s">
        <v>40</v>
      </c>
    </row>
    <row r="155" spans="1:8" s="132" customFormat="1" x14ac:dyDescent="0.2">
      <c r="A155" s="155"/>
      <c r="B155" s="195"/>
      <c r="C155" s="196" t="s">
        <v>126</v>
      </c>
      <c r="D155" s="208">
        <f>COUNTIF(152:152,"Short Call")</f>
        <v>0</v>
      </c>
      <c r="E155" s="208"/>
      <c r="F155" s="243" t="s">
        <v>7</v>
      </c>
      <c r="G155" s="244" t="s">
        <v>1</v>
      </c>
      <c r="H155" s="245">
        <v>45</v>
      </c>
    </row>
    <row r="156" spans="1:8" s="132" customFormat="1" x14ac:dyDescent="0.2">
      <c r="A156" s="155"/>
      <c r="B156" s="195"/>
      <c r="C156" s="196" t="s">
        <v>127</v>
      </c>
      <c r="D156" s="208">
        <f>COUNTIF(152:152,"Long Put")</f>
        <v>1</v>
      </c>
      <c r="E156" s="208"/>
      <c r="F156" s="247" t="s">
        <v>8</v>
      </c>
      <c r="G156" s="248" t="s">
        <v>3</v>
      </c>
      <c r="H156" s="249">
        <v>2E-3</v>
      </c>
    </row>
    <row r="157" spans="1:8" s="132" customFormat="1" x14ac:dyDescent="0.2">
      <c r="A157" s="155"/>
      <c r="B157" s="195"/>
      <c r="C157" s="196" t="s">
        <v>128</v>
      </c>
      <c r="D157" s="208">
        <f>COUNTIF(152:152,"Short Put")</f>
        <v>0</v>
      </c>
      <c r="E157" s="208"/>
      <c r="F157" s="247" t="s">
        <v>9</v>
      </c>
      <c r="G157" s="251" t="s">
        <v>4</v>
      </c>
      <c r="H157" s="250">
        <v>0</v>
      </c>
    </row>
    <row r="158" spans="1:8" s="132" customFormat="1" ht="17" thickBot="1" x14ac:dyDescent="0.25">
      <c r="A158" s="155"/>
      <c r="B158" s="195"/>
      <c r="C158" s="196" t="s">
        <v>129</v>
      </c>
      <c r="D158" s="208">
        <f>COUNTIF(152:152,"Long Asset")</f>
        <v>0</v>
      </c>
      <c r="E158" s="208"/>
      <c r="F158" s="252" t="s">
        <v>10</v>
      </c>
      <c r="G158" s="253" t="s">
        <v>5</v>
      </c>
      <c r="H158" s="254">
        <v>7.0000000000000007E-2</v>
      </c>
    </row>
    <row r="159" spans="1:8" s="132" customFormat="1" ht="17" thickBot="1" x14ac:dyDescent="0.25">
      <c r="A159" s="155"/>
      <c r="B159" s="195"/>
      <c r="C159" s="196" t="s">
        <v>130</v>
      </c>
      <c r="D159" s="208">
        <f>COUNTIF(152:152,"Short Asset")</f>
        <v>0</v>
      </c>
      <c r="E159" s="208"/>
      <c r="F159" s="255"/>
      <c r="G159" s="256"/>
      <c r="H159" s="257" t="s">
        <v>40</v>
      </c>
    </row>
    <row r="160" spans="1:8" s="132" customFormat="1" ht="20" thickBot="1" x14ac:dyDescent="0.3">
      <c r="A160" s="155"/>
      <c r="B160" s="195"/>
      <c r="C160" s="196" t="s">
        <v>152</v>
      </c>
      <c r="D160" s="208">
        <f>COUNTIF(152:152,"Long Futures")</f>
        <v>0</v>
      </c>
      <c r="E160" s="208"/>
      <c r="F160" s="560" t="s">
        <v>66</v>
      </c>
      <c r="G160" s="561"/>
      <c r="H160" s="241" t="s">
        <v>40</v>
      </c>
    </row>
    <row r="161" spans="1:9" s="132" customFormat="1" ht="17" thickBot="1" x14ac:dyDescent="0.25">
      <c r="A161" s="155"/>
      <c r="B161" s="195"/>
      <c r="C161" s="196" t="s">
        <v>153</v>
      </c>
      <c r="D161" s="208">
        <f>COUNTIF(152:152,"Short Futures")</f>
        <v>0</v>
      </c>
      <c r="E161" s="216"/>
      <c r="F161" s="243" t="s">
        <v>6</v>
      </c>
      <c r="G161" s="258" t="s">
        <v>2</v>
      </c>
      <c r="H161" s="245">
        <v>45</v>
      </c>
    </row>
    <row r="162" spans="1:9" s="132" customFormat="1" ht="17" thickBot="1" x14ac:dyDescent="0.25">
      <c r="A162" s="155"/>
      <c r="B162" s="195"/>
      <c r="C162" s="196"/>
      <c r="D162" s="208"/>
      <c r="E162" s="208"/>
      <c r="F162" s="247" t="s">
        <v>11</v>
      </c>
      <c r="G162" s="251" t="s">
        <v>12</v>
      </c>
      <c r="H162" s="250">
        <v>8.2191781000000005E-2</v>
      </c>
    </row>
    <row r="163" spans="1:9" s="132" customFormat="1" ht="17" thickBot="1" x14ac:dyDescent="0.25">
      <c r="A163" s="155"/>
      <c r="B163" s="195"/>
      <c r="C163" s="196" t="s">
        <v>131</v>
      </c>
      <c r="D163" s="216">
        <f>COUNTA(152:152)</f>
        <v>1</v>
      </c>
      <c r="E163" s="208"/>
      <c r="F163" s="252" t="s">
        <v>78</v>
      </c>
      <c r="G163" s="253" t="s">
        <v>70</v>
      </c>
      <c r="H163" s="259">
        <v>0.35655367500000001</v>
      </c>
    </row>
    <row r="164" spans="1:9" s="132" customFormat="1" ht="17" thickBot="1" x14ac:dyDescent="0.25">
      <c r="A164" s="155"/>
      <c r="B164" s="195"/>
      <c r="C164" s="196"/>
      <c r="D164" s="208"/>
      <c r="E164" s="208"/>
    </row>
    <row r="165" spans="1:9" s="132" customFormat="1" ht="17" thickBot="1" x14ac:dyDescent="0.25">
      <c r="A165" s="155"/>
      <c r="B165" s="195">
        <v>12</v>
      </c>
      <c r="C165" s="203"/>
      <c r="D165" s="204"/>
      <c r="E165" s="204" t="s">
        <v>95</v>
      </c>
      <c r="F165" s="523" t="s">
        <v>155</v>
      </c>
      <c r="G165" s="524"/>
      <c r="H165" s="277">
        <v>1</v>
      </c>
      <c r="I165" s="277">
        <v>1</v>
      </c>
    </row>
    <row r="166" spans="1:9" s="132" customFormat="1" ht="20" thickBot="1" x14ac:dyDescent="0.3">
      <c r="A166" s="155"/>
      <c r="B166" s="195"/>
      <c r="C166" s="203"/>
      <c r="D166" s="206"/>
      <c r="E166" s="206"/>
      <c r="F166" s="225"/>
      <c r="G166" s="145"/>
      <c r="H166" s="146" t="s">
        <v>62</v>
      </c>
      <c r="I166" s="146" t="s">
        <v>61</v>
      </c>
    </row>
    <row r="167" spans="1:9" s="132" customFormat="1" ht="17" thickBot="1" x14ac:dyDescent="0.25">
      <c r="A167" s="155"/>
      <c r="B167" s="195"/>
      <c r="C167" s="196"/>
      <c r="D167" s="208"/>
      <c r="E167" s="208"/>
      <c r="F167" s="148"/>
      <c r="G167" s="148"/>
      <c r="H167" s="149" t="s">
        <v>75</v>
      </c>
      <c r="I167" s="149" t="s">
        <v>72</v>
      </c>
    </row>
    <row r="168" spans="1:9" s="132" customFormat="1" ht="20" thickBot="1" x14ac:dyDescent="0.3">
      <c r="A168" s="155"/>
      <c r="B168" s="195"/>
      <c r="C168" s="196" t="s">
        <v>125</v>
      </c>
      <c r="D168" s="208">
        <f>COUNTIF(166:166,"Long Call")</f>
        <v>0</v>
      </c>
      <c r="E168" s="208"/>
      <c r="F168" s="556" t="s">
        <v>65</v>
      </c>
      <c r="G168" s="557"/>
      <c r="H168" s="152" t="s">
        <v>40</v>
      </c>
      <c r="I168" s="153" t="s">
        <v>40</v>
      </c>
    </row>
    <row r="169" spans="1:9" s="132" customFormat="1" x14ac:dyDescent="0.2">
      <c r="A169" s="155"/>
      <c r="B169" s="195"/>
      <c r="C169" s="196" t="s">
        <v>126</v>
      </c>
      <c r="D169" s="208">
        <f>COUNTIF(166:166,"Short Call")</f>
        <v>1</v>
      </c>
      <c r="E169" s="208"/>
      <c r="F169" s="157" t="s">
        <v>7</v>
      </c>
      <c r="G169" s="158" t="s">
        <v>1</v>
      </c>
      <c r="H169" s="210">
        <v>45</v>
      </c>
      <c r="I169" s="228">
        <v>45</v>
      </c>
    </row>
    <row r="170" spans="1:9" s="132" customFormat="1" x14ac:dyDescent="0.2">
      <c r="A170" s="155"/>
      <c r="B170" s="195"/>
      <c r="C170" s="196" t="s">
        <v>127</v>
      </c>
      <c r="D170" s="208">
        <f>COUNTIF(166:166,"Long Put")</f>
        <v>1</v>
      </c>
      <c r="E170" s="208"/>
      <c r="F170" s="163" t="s">
        <v>8</v>
      </c>
      <c r="G170" s="164" t="s">
        <v>3</v>
      </c>
      <c r="H170" s="211">
        <v>2E-3</v>
      </c>
      <c r="I170" s="230">
        <v>2E-3</v>
      </c>
    </row>
    <row r="171" spans="1:9" s="132" customFormat="1" x14ac:dyDescent="0.2">
      <c r="A171" s="155"/>
      <c r="B171" s="195"/>
      <c r="C171" s="196" t="s">
        <v>128</v>
      </c>
      <c r="D171" s="208">
        <f>COUNTIF(166:166,"Short Put")</f>
        <v>0</v>
      </c>
      <c r="E171" s="208"/>
      <c r="F171" s="163" t="s">
        <v>9</v>
      </c>
      <c r="G171" s="166" t="s">
        <v>4</v>
      </c>
      <c r="H171" s="212">
        <v>0</v>
      </c>
      <c r="I171" s="230">
        <v>0</v>
      </c>
    </row>
    <row r="172" spans="1:9" s="132" customFormat="1" ht="17" thickBot="1" x14ac:dyDescent="0.25">
      <c r="A172" s="155"/>
      <c r="B172" s="195"/>
      <c r="C172" s="196" t="s">
        <v>129</v>
      </c>
      <c r="D172" s="208">
        <f>COUNTIF(166:166,"Long Asset")</f>
        <v>0</v>
      </c>
      <c r="E172" s="208"/>
      <c r="F172" s="168" t="s">
        <v>10</v>
      </c>
      <c r="G172" s="194" t="s">
        <v>5</v>
      </c>
      <c r="H172" s="213">
        <v>7.0000000000000007E-2</v>
      </c>
      <c r="I172" s="231">
        <v>7.0000000000000007E-2</v>
      </c>
    </row>
    <row r="173" spans="1:9" s="132" customFormat="1" ht="17" thickBot="1" x14ac:dyDescent="0.25">
      <c r="A173" s="155"/>
      <c r="B173" s="195"/>
      <c r="C173" s="196" t="s">
        <v>130</v>
      </c>
      <c r="D173" s="208">
        <f>COUNTIF(166:166,"Short Asset")</f>
        <v>0</v>
      </c>
      <c r="E173" s="208"/>
      <c r="F173" s="171"/>
      <c r="G173" s="172"/>
      <c r="H173" s="232" t="s">
        <v>40</v>
      </c>
      <c r="I173" s="122" t="s">
        <v>40</v>
      </c>
    </row>
    <row r="174" spans="1:9" s="132" customFormat="1" ht="20" thickBot="1" x14ac:dyDescent="0.3">
      <c r="A174" s="155"/>
      <c r="B174" s="195"/>
      <c r="C174" s="196" t="s">
        <v>152</v>
      </c>
      <c r="D174" s="208">
        <f>COUNTIF(166:166,"Long Futures")</f>
        <v>0</v>
      </c>
      <c r="E174" s="208"/>
      <c r="F174" s="558" t="s">
        <v>66</v>
      </c>
      <c r="G174" s="559"/>
      <c r="H174" s="233" t="s">
        <v>40</v>
      </c>
      <c r="I174" s="122" t="s">
        <v>40</v>
      </c>
    </row>
    <row r="175" spans="1:9" s="132" customFormat="1" ht="17" thickBot="1" x14ac:dyDescent="0.25">
      <c r="A175" s="155"/>
      <c r="B175" s="195"/>
      <c r="C175" s="196" t="s">
        <v>153</v>
      </c>
      <c r="D175" s="208">
        <f>COUNTIF(166:166,"Short Futures")</f>
        <v>0</v>
      </c>
      <c r="E175" s="216"/>
      <c r="F175" s="157" t="s">
        <v>6</v>
      </c>
      <c r="G175" s="175" t="s">
        <v>2</v>
      </c>
      <c r="H175" s="210">
        <v>45</v>
      </c>
      <c r="I175" s="229">
        <v>45</v>
      </c>
    </row>
    <row r="176" spans="1:9" s="132" customFormat="1" ht="17" thickBot="1" x14ac:dyDescent="0.25">
      <c r="A176" s="155"/>
      <c r="B176" s="195"/>
      <c r="C176" s="196"/>
      <c r="D176" s="208"/>
      <c r="E176" s="208"/>
      <c r="F176" s="163" t="s">
        <v>11</v>
      </c>
      <c r="G176" s="166" t="s">
        <v>12</v>
      </c>
      <c r="H176" s="212">
        <f>30/365</f>
        <v>8.2191780821917804E-2</v>
      </c>
      <c r="I176" s="212">
        <v>8.2191780821917804E-2</v>
      </c>
    </row>
    <row r="177" spans="1:10" s="132" customFormat="1" ht="17" thickBot="1" x14ac:dyDescent="0.25">
      <c r="A177" s="155"/>
      <c r="B177" s="195"/>
      <c r="C177" s="196" t="s">
        <v>131</v>
      </c>
      <c r="D177" s="216">
        <f>COUNTA(166:166)</f>
        <v>2</v>
      </c>
      <c r="E177" s="208"/>
      <c r="F177" s="168" t="s">
        <v>78</v>
      </c>
      <c r="G177" s="194" t="s">
        <v>70</v>
      </c>
      <c r="H177" s="234">
        <v>0.35655367484033978</v>
      </c>
      <c r="I177" s="235">
        <v>0.35655367484033978</v>
      </c>
    </row>
    <row r="178" spans="1:10" s="132" customFormat="1" ht="17" thickBot="1" x14ac:dyDescent="0.25">
      <c r="A178" s="155"/>
      <c r="B178" s="195"/>
      <c r="C178" s="196"/>
      <c r="D178" s="208"/>
      <c r="E178" s="208"/>
    </row>
    <row r="179" spans="1:10" s="132" customFormat="1" ht="17" thickBot="1" x14ac:dyDescent="0.25">
      <c r="A179" s="155"/>
      <c r="B179" s="195">
        <v>13</v>
      </c>
      <c r="C179" s="203"/>
      <c r="D179" s="204"/>
      <c r="E179" s="204" t="s">
        <v>96</v>
      </c>
      <c r="F179" s="523" t="s">
        <v>155</v>
      </c>
      <c r="G179" s="524"/>
      <c r="H179" s="277">
        <v>1</v>
      </c>
      <c r="I179" s="277">
        <v>1</v>
      </c>
      <c r="J179" s="277">
        <v>1</v>
      </c>
    </row>
    <row r="180" spans="1:10" s="132" customFormat="1" ht="20" thickBot="1" x14ac:dyDescent="0.3">
      <c r="A180" s="155"/>
      <c r="B180" s="195"/>
      <c r="C180" s="203"/>
      <c r="D180" s="206"/>
      <c r="E180" s="206"/>
      <c r="F180" s="225"/>
      <c r="G180" s="260"/>
      <c r="H180" s="261" t="s">
        <v>61</v>
      </c>
      <c r="I180" s="263" t="s">
        <v>61</v>
      </c>
      <c r="J180" s="262" t="s">
        <v>63</v>
      </c>
    </row>
    <row r="181" spans="1:10" s="132" customFormat="1" ht="17" thickBot="1" x14ac:dyDescent="0.25">
      <c r="A181" s="155"/>
      <c r="B181" s="195"/>
      <c r="C181" s="196"/>
      <c r="D181" s="208"/>
      <c r="E181" s="208"/>
      <c r="F181" s="239"/>
      <c r="G181" s="239"/>
      <c r="H181" s="240" t="s">
        <v>72</v>
      </c>
      <c r="I181" s="240" t="s">
        <v>116</v>
      </c>
      <c r="J181" s="240" t="s">
        <v>73</v>
      </c>
    </row>
    <row r="182" spans="1:10" s="132" customFormat="1" ht="20" thickBot="1" x14ac:dyDescent="0.3">
      <c r="A182" s="155"/>
      <c r="B182" s="195"/>
      <c r="C182" s="196" t="s">
        <v>125</v>
      </c>
      <c r="D182" s="208">
        <f>COUNTIF(180:180,"Long Call")</f>
        <v>0</v>
      </c>
      <c r="E182" s="208"/>
      <c r="F182" s="560" t="s">
        <v>65</v>
      </c>
      <c r="G182" s="561"/>
      <c r="H182" s="241" t="s">
        <v>40</v>
      </c>
      <c r="I182" s="242" t="s">
        <v>40</v>
      </c>
      <c r="J182" s="242" t="s">
        <v>40</v>
      </c>
    </row>
    <row r="183" spans="1:10" s="132" customFormat="1" x14ac:dyDescent="0.2">
      <c r="A183" s="155"/>
      <c r="B183" s="195"/>
      <c r="C183" s="196" t="s">
        <v>126</v>
      </c>
      <c r="D183" s="208">
        <f>COUNTIF(180:180,"Short Call")</f>
        <v>0</v>
      </c>
      <c r="E183" s="208"/>
      <c r="F183" s="243" t="s">
        <v>7</v>
      </c>
      <c r="G183" s="244" t="s">
        <v>1</v>
      </c>
      <c r="H183" s="245">
        <v>42</v>
      </c>
      <c r="I183" s="246">
        <v>42</v>
      </c>
      <c r="J183" s="245">
        <v>42</v>
      </c>
    </row>
    <row r="184" spans="1:10" s="132" customFormat="1" x14ac:dyDescent="0.2">
      <c r="A184" s="155"/>
      <c r="B184" s="195"/>
      <c r="C184" s="196" t="s">
        <v>127</v>
      </c>
      <c r="D184" s="208">
        <f>COUNTIF(180:180,"Long Put")</f>
        <v>2</v>
      </c>
      <c r="E184" s="208"/>
      <c r="F184" s="247" t="s">
        <v>8</v>
      </c>
      <c r="G184" s="248" t="s">
        <v>3</v>
      </c>
      <c r="H184" s="249">
        <v>2E-3</v>
      </c>
      <c r="I184" s="250">
        <v>2E-3</v>
      </c>
      <c r="J184" s="250">
        <v>2E-3</v>
      </c>
    </row>
    <row r="185" spans="1:10" s="132" customFormat="1" x14ac:dyDescent="0.2">
      <c r="A185" s="155"/>
      <c r="B185" s="195"/>
      <c r="C185" s="196" t="s">
        <v>128</v>
      </c>
      <c r="D185" s="208">
        <f>COUNTIF(180:180,"Short Put")</f>
        <v>1</v>
      </c>
      <c r="E185" s="208"/>
      <c r="F185" s="247" t="s">
        <v>9</v>
      </c>
      <c r="G185" s="251" t="s">
        <v>4</v>
      </c>
      <c r="H185" s="250">
        <v>0</v>
      </c>
      <c r="I185" s="250">
        <v>0</v>
      </c>
      <c r="J185" s="250">
        <v>0</v>
      </c>
    </row>
    <row r="186" spans="1:10" s="132" customFormat="1" ht="17" thickBot="1" x14ac:dyDescent="0.25">
      <c r="A186" s="155"/>
      <c r="B186" s="195"/>
      <c r="C186" s="196" t="s">
        <v>129</v>
      </c>
      <c r="D186" s="208">
        <f>COUNTIF(180:180,"Long Asset")</f>
        <v>0</v>
      </c>
      <c r="E186" s="208"/>
      <c r="F186" s="252" t="s">
        <v>10</v>
      </c>
      <c r="G186" s="253" t="s">
        <v>5</v>
      </c>
      <c r="H186" s="254">
        <v>7.0000000000000007E-2</v>
      </c>
      <c r="I186" s="254">
        <v>7.0000000000000007E-2</v>
      </c>
      <c r="J186" s="254">
        <v>7.0000000000000007E-2</v>
      </c>
    </row>
    <row r="187" spans="1:10" s="132" customFormat="1" ht="17" thickBot="1" x14ac:dyDescent="0.25">
      <c r="A187" s="155"/>
      <c r="B187" s="195"/>
      <c r="C187" s="196" t="s">
        <v>130</v>
      </c>
      <c r="D187" s="208">
        <f>COUNTIF(180:180,"Short Asset")</f>
        <v>0</v>
      </c>
      <c r="E187" s="208"/>
      <c r="F187" s="255"/>
      <c r="G187" s="256"/>
      <c r="H187" s="257" t="s">
        <v>40</v>
      </c>
      <c r="I187" s="257" t="s">
        <v>40</v>
      </c>
      <c r="J187" s="257" t="s">
        <v>40</v>
      </c>
    </row>
    <row r="188" spans="1:10" s="132" customFormat="1" ht="20" thickBot="1" x14ac:dyDescent="0.3">
      <c r="A188" s="155"/>
      <c r="B188" s="195"/>
      <c r="C188" s="196" t="s">
        <v>152</v>
      </c>
      <c r="D188" s="208">
        <f>COUNTIF(180:180,"Long Futures")</f>
        <v>0</v>
      </c>
      <c r="E188" s="208"/>
      <c r="F188" s="560" t="s">
        <v>66</v>
      </c>
      <c r="G188" s="561"/>
      <c r="H188" s="241" t="s">
        <v>40</v>
      </c>
      <c r="I188" s="257" t="s">
        <v>40</v>
      </c>
      <c r="J188" s="257" t="s">
        <v>40</v>
      </c>
    </row>
    <row r="189" spans="1:10" s="132" customFormat="1" ht="17" thickBot="1" x14ac:dyDescent="0.25">
      <c r="A189" s="155"/>
      <c r="B189" s="195"/>
      <c r="C189" s="196" t="s">
        <v>153</v>
      </c>
      <c r="D189" s="208">
        <f>COUNTIF(180:180,"Short Futures")</f>
        <v>0</v>
      </c>
      <c r="E189" s="216"/>
      <c r="F189" s="243" t="s">
        <v>6</v>
      </c>
      <c r="G189" s="258" t="s">
        <v>2</v>
      </c>
      <c r="H189" s="245">
        <v>43</v>
      </c>
      <c r="I189" s="245">
        <v>43</v>
      </c>
      <c r="J189" s="245">
        <v>45</v>
      </c>
    </row>
    <row r="190" spans="1:10" s="132" customFormat="1" ht="17" thickBot="1" x14ac:dyDescent="0.25">
      <c r="A190" s="155"/>
      <c r="B190" s="195"/>
      <c r="C190" s="196"/>
      <c r="D190" s="208"/>
      <c r="E190" s="208"/>
      <c r="F190" s="247" t="s">
        <v>11</v>
      </c>
      <c r="G190" s="251" t="s">
        <v>12</v>
      </c>
      <c r="H190" s="250">
        <v>8.2191781000000005E-2</v>
      </c>
      <c r="I190" s="250">
        <v>8.2191780000000006E-2</v>
      </c>
      <c r="J190" s="250">
        <v>8.2191780000000006E-2</v>
      </c>
    </row>
    <row r="191" spans="1:10" s="132" customFormat="1" ht="17" thickBot="1" x14ac:dyDescent="0.25">
      <c r="A191" s="155"/>
      <c r="B191" s="195"/>
      <c r="C191" s="196" t="s">
        <v>131</v>
      </c>
      <c r="D191" s="216">
        <f>COUNTA(180:180)</f>
        <v>3</v>
      </c>
      <c r="E191" s="208"/>
      <c r="F191" s="252" t="s">
        <v>78</v>
      </c>
      <c r="G191" s="253" t="s">
        <v>70</v>
      </c>
      <c r="H191" s="259">
        <v>1.0443808539999999</v>
      </c>
      <c r="I191" s="259">
        <v>1.04438085</v>
      </c>
      <c r="J191" s="259">
        <v>2.9926706699999999</v>
      </c>
    </row>
    <row r="192" spans="1:10" s="132" customFormat="1" ht="17" thickBot="1" x14ac:dyDescent="0.25">
      <c r="A192" s="155"/>
      <c r="B192" s="195"/>
      <c r="C192" s="196"/>
      <c r="D192" s="208"/>
      <c r="E192" s="208"/>
    </row>
    <row r="193" spans="1:9" s="132" customFormat="1" ht="17" thickBot="1" x14ac:dyDescent="0.25">
      <c r="A193" s="155"/>
      <c r="B193" s="195">
        <v>14</v>
      </c>
      <c r="C193" s="203"/>
      <c r="D193" s="204"/>
      <c r="E193" s="204" t="s">
        <v>97</v>
      </c>
      <c r="F193" s="523" t="s">
        <v>155</v>
      </c>
      <c r="G193" s="524"/>
      <c r="H193" s="277">
        <v>1</v>
      </c>
      <c r="I193" s="277">
        <v>1</v>
      </c>
    </row>
    <row r="194" spans="1:9" s="132" customFormat="1" ht="20" thickBot="1" x14ac:dyDescent="0.3">
      <c r="A194" s="155"/>
      <c r="B194" s="195"/>
      <c r="C194" s="203"/>
      <c r="D194" s="206"/>
      <c r="E194" s="206"/>
      <c r="F194" s="225"/>
      <c r="G194" s="145"/>
      <c r="H194" s="146" t="s">
        <v>60</v>
      </c>
      <c r="I194" s="146" t="s">
        <v>62</v>
      </c>
    </row>
    <row r="195" spans="1:9" s="132" customFormat="1" ht="17" thickBot="1" x14ac:dyDescent="0.25">
      <c r="A195" s="155"/>
      <c r="B195" s="195"/>
      <c r="C195" s="196"/>
      <c r="D195" s="208"/>
      <c r="E195" s="208"/>
      <c r="F195" s="148"/>
      <c r="G195" s="148"/>
      <c r="H195" s="149" t="s">
        <v>71</v>
      </c>
      <c r="I195" s="149" t="s">
        <v>75</v>
      </c>
    </row>
    <row r="196" spans="1:9" s="132" customFormat="1" ht="20" thickBot="1" x14ac:dyDescent="0.3">
      <c r="A196" s="155"/>
      <c r="B196" s="195"/>
      <c r="C196" s="196" t="s">
        <v>125</v>
      </c>
      <c r="D196" s="208">
        <f>COUNTIF(194:194,"Long Call")</f>
        <v>1</v>
      </c>
      <c r="E196" s="208"/>
      <c r="F196" s="556" t="s">
        <v>65</v>
      </c>
      <c r="G196" s="557"/>
      <c r="H196" s="152" t="s">
        <v>40</v>
      </c>
      <c r="I196" s="153" t="s">
        <v>40</v>
      </c>
    </row>
    <row r="197" spans="1:9" s="132" customFormat="1" x14ac:dyDescent="0.2">
      <c r="A197" s="155"/>
      <c r="B197" s="195"/>
      <c r="C197" s="196" t="s">
        <v>126</v>
      </c>
      <c r="D197" s="208">
        <f>COUNTIF(194:194,"Short Call")</f>
        <v>1</v>
      </c>
      <c r="E197" s="208"/>
      <c r="F197" s="157" t="s">
        <v>7</v>
      </c>
      <c r="G197" s="158" t="s">
        <v>1</v>
      </c>
      <c r="H197" s="210">
        <v>45</v>
      </c>
      <c r="I197" s="228">
        <v>45</v>
      </c>
    </row>
    <row r="198" spans="1:9" s="132" customFormat="1" x14ac:dyDescent="0.2">
      <c r="A198" s="155"/>
      <c r="B198" s="195"/>
      <c r="C198" s="196" t="s">
        <v>127</v>
      </c>
      <c r="D198" s="208">
        <f>COUNTIF(194:194,"Long Put")</f>
        <v>0</v>
      </c>
      <c r="E198" s="208"/>
      <c r="F198" s="163" t="s">
        <v>8</v>
      </c>
      <c r="G198" s="164" t="s">
        <v>3</v>
      </c>
      <c r="H198" s="211">
        <v>2E-3</v>
      </c>
      <c r="I198" s="230">
        <v>2E-3</v>
      </c>
    </row>
    <row r="199" spans="1:9" s="132" customFormat="1" x14ac:dyDescent="0.2">
      <c r="A199" s="155"/>
      <c r="B199" s="195"/>
      <c r="C199" s="196" t="s">
        <v>128</v>
      </c>
      <c r="D199" s="208">
        <f>COUNTIF(194:194,"Short Put")</f>
        <v>0</v>
      </c>
      <c r="E199" s="208"/>
      <c r="F199" s="163" t="s">
        <v>9</v>
      </c>
      <c r="G199" s="166" t="s">
        <v>4</v>
      </c>
      <c r="H199" s="212">
        <v>0</v>
      </c>
      <c r="I199" s="230">
        <v>0</v>
      </c>
    </row>
    <row r="200" spans="1:9" s="132" customFormat="1" ht="17" thickBot="1" x14ac:dyDescent="0.25">
      <c r="A200" s="155"/>
      <c r="B200" s="195"/>
      <c r="C200" s="196" t="s">
        <v>129</v>
      </c>
      <c r="D200" s="208">
        <f>COUNTIF(194:194,"Long Asset")</f>
        <v>0</v>
      </c>
      <c r="E200" s="208"/>
      <c r="F200" s="168" t="s">
        <v>10</v>
      </c>
      <c r="G200" s="194" t="s">
        <v>5</v>
      </c>
      <c r="H200" s="213">
        <v>7.0000000000000007E-2</v>
      </c>
      <c r="I200" s="231">
        <v>7.0000000000000007E-2</v>
      </c>
    </row>
    <row r="201" spans="1:9" s="132" customFormat="1" ht="17" thickBot="1" x14ac:dyDescent="0.25">
      <c r="A201" s="155"/>
      <c r="B201" s="195"/>
      <c r="C201" s="196" t="s">
        <v>130</v>
      </c>
      <c r="D201" s="208">
        <f>COUNTIF(194:194,"Short Asset")</f>
        <v>0</v>
      </c>
      <c r="E201" s="208"/>
      <c r="F201" s="171"/>
      <c r="G201" s="172"/>
      <c r="H201" s="232" t="s">
        <v>40</v>
      </c>
      <c r="I201" s="122" t="s">
        <v>40</v>
      </c>
    </row>
    <row r="202" spans="1:9" s="132" customFormat="1" ht="20" thickBot="1" x14ac:dyDescent="0.3">
      <c r="A202" s="155"/>
      <c r="B202" s="195"/>
      <c r="C202" s="196" t="s">
        <v>152</v>
      </c>
      <c r="D202" s="208">
        <f>COUNTIF(194:194,"Long Futures")</f>
        <v>0</v>
      </c>
      <c r="E202" s="208"/>
      <c r="F202" s="558" t="s">
        <v>66</v>
      </c>
      <c r="G202" s="559"/>
      <c r="H202" s="233" t="s">
        <v>40</v>
      </c>
      <c r="I202" s="122" t="s">
        <v>40</v>
      </c>
    </row>
    <row r="203" spans="1:9" s="132" customFormat="1" ht="17" thickBot="1" x14ac:dyDescent="0.25">
      <c r="A203" s="155"/>
      <c r="B203" s="195"/>
      <c r="C203" s="196" t="s">
        <v>153</v>
      </c>
      <c r="D203" s="208">
        <f>COUNTIF(194:194,"Short Futures")</f>
        <v>0</v>
      </c>
      <c r="E203" s="216"/>
      <c r="F203" s="157" t="s">
        <v>6</v>
      </c>
      <c r="G203" s="175" t="s">
        <v>2</v>
      </c>
      <c r="H203" s="210">
        <v>46</v>
      </c>
      <c r="I203" s="229">
        <v>44</v>
      </c>
    </row>
    <row r="204" spans="1:9" s="132" customFormat="1" ht="17" thickBot="1" x14ac:dyDescent="0.25">
      <c r="A204" s="155"/>
      <c r="B204" s="195"/>
      <c r="C204" s="196"/>
      <c r="D204" s="208"/>
      <c r="E204" s="208"/>
      <c r="F204" s="163" t="s">
        <v>11</v>
      </c>
      <c r="G204" s="166" t="s">
        <v>12</v>
      </c>
      <c r="H204" s="212">
        <f>30/365</f>
        <v>8.2191780821917804E-2</v>
      </c>
      <c r="I204" s="212">
        <v>8.2191780821917804E-2</v>
      </c>
    </row>
    <row r="205" spans="1:9" s="132" customFormat="1" ht="17" thickBot="1" x14ac:dyDescent="0.25">
      <c r="A205" s="155"/>
      <c r="B205" s="195"/>
      <c r="C205" s="196" t="s">
        <v>131</v>
      </c>
      <c r="D205" s="216">
        <f>COUNTA(194:194)</f>
        <v>2</v>
      </c>
      <c r="E205" s="208"/>
      <c r="F205" s="168" t="s">
        <v>78</v>
      </c>
      <c r="G205" s="194" t="s">
        <v>70</v>
      </c>
      <c r="H205" s="234">
        <v>6.4272018992693997E-2</v>
      </c>
      <c r="I205" s="235">
        <v>1.0651845740796866</v>
      </c>
    </row>
    <row r="206" spans="1:9" s="132" customFormat="1" ht="17" thickBot="1" x14ac:dyDescent="0.25">
      <c r="A206" s="155"/>
      <c r="B206" s="195"/>
      <c r="C206" s="196"/>
      <c r="D206" s="208"/>
      <c r="E206" s="208"/>
    </row>
    <row r="207" spans="1:9" s="132" customFormat="1" ht="17" thickBot="1" x14ac:dyDescent="0.25">
      <c r="A207" s="155"/>
      <c r="B207" s="195">
        <v>15</v>
      </c>
      <c r="C207" s="203"/>
      <c r="D207" s="204"/>
      <c r="E207" s="204" t="s">
        <v>98</v>
      </c>
      <c r="F207" s="523" t="s">
        <v>155</v>
      </c>
      <c r="G207" s="524"/>
      <c r="H207" s="277">
        <v>1</v>
      </c>
      <c r="I207" s="277">
        <v>1</v>
      </c>
    </row>
    <row r="208" spans="1:9" s="132" customFormat="1" ht="20" thickBot="1" x14ac:dyDescent="0.3">
      <c r="A208" s="155"/>
      <c r="B208" s="195"/>
      <c r="C208" s="203"/>
      <c r="D208" s="206"/>
      <c r="E208" s="206"/>
      <c r="F208" s="225"/>
      <c r="G208" s="260"/>
      <c r="H208" s="261" t="s">
        <v>61</v>
      </c>
      <c r="I208" s="262" t="s">
        <v>63</v>
      </c>
    </row>
    <row r="209" spans="1:11" s="132" customFormat="1" ht="17" thickBot="1" x14ac:dyDescent="0.25">
      <c r="A209" s="155"/>
      <c r="B209" s="195"/>
      <c r="C209" s="196"/>
      <c r="D209" s="208"/>
      <c r="E209" s="208"/>
      <c r="F209" s="239"/>
      <c r="G209" s="239"/>
      <c r="H209" s="240" t="s">
        <v>72</v>
      </c>
      <c r="I209" s="240" t="s">
        <v>73</v>
      </c>
    </row>
    <row r="210" spans="1:11" s="132" customFormat="1" ht="20" thickBot="1" x14ac:dyDescent="0.3">
      <c r="A210" s="155"/>
      <c r="B210" s="195"/>
      <c r="C210" s="196" t="s">
        <v>125</v>
      </c>
      <c r="D210" s="208">
        <f>COUNTIF(208:208,"Long Call")</f>
        <v>0</v>
      </c>
      <c r="E210" s="208"/>
      <c r="F210" s="560" t="s">
        <v>65</v>
      </c>
      <c r="G210" s="561"/>
      <c r="H210" s="241" t="s">
        <v>40</v>
      </c>
      <c r="I210" s="242" t="s">
        <v>40</v>
      </c>
    </row>
    <row r="211" spans="1:11" s="132" customFormat="1" x14ac:dyDescent="0.2">
      <c r="A211" s="155"/>
      <c r="B211" s="195"/>
      <c r="C211" s="196" t="s">
        <v>126</v>
      </c>
      <c r="D211" s="208">
        <f>COUNTIF(208:208,"Short Call")</f>
        <v>0</v>
      </c>
      <c r="E211" s="208"/>
      <c r="F211" s="243" t="s">
        <v>7</v>
      </c>
      <c r="G211" s="244" t="s">
        <v>1</v>
      </c>
      <c r="H211" s="245">
        <v>30</v>
      </c>
      <c r="I211" s="246">
        <v>30</v>
      </c>
    </row>
    <row r="212" spans="1:11" s="132" customFormat="1" x14ac:dyDescent="0.2">
      <c r="A212" s="155"/>
      <c r="B212" s="195"/>
      <c r="C212" s="196" t="s">
        <v>127</v>
      </c>
      <c r="D212" s="208">
        <f>COUNTIF(208:208,"Long Put")</f>
        <v>1</v>
      </c>
      <c r="E212" s="208"/>
      <c r="F212" s="247" t="s">
        <v>8</v>
      </c>
      <c r="G212" s="248" t="s">
        <v>3</v>
      </c>
      <c r="H212" s="249">
        <v>2E-3</v>
      </c>
      <c r="I212" s="250">
        <v>2E-3</v>
      </c>
    </row>
    <row r="213" spans="1:11" s="132" customFormat="1" x14ac:dyDescent="0.2">
      <c r="A213" s="155"/>
      <c r="B213" s="195"/>
      <c r="C213" s="196" t="s">
        <v>128</v>
      </c>
      <c r="D213" s="208">
        <f>COUNTIF(208:208,"Short Put")</f>
        <v>1</v>
      </c>
      <c r="E213" s="208"/>
      <c r="F213" s="247" t="s">
        <v>9</v>
      </c>
      <c r="G213" s="251" t="s">
        <v>4</v>
      </c>
      <c r="H213" s="250">
        <v>0</v>
      </c>
      <c r="I213" s="250">
        <v>0</v>
      </c>
    </row>
    <row r="214" spans="1:11" s="132" customFormat="1" ht="17" thickBot="1" x14ac:dyDescent="0.25">
      <c r="A214" s="155"/>
      <c r="B214" s="195"/>
      <c r="C214" s="196" t="s">
        <v>129</v>
      </c>
      <c r="D214" s="208">
        <f>COUNTIF(208:208,"Long Asset")</f>
        <v>0</v>
      </c>
      <c r="E214" s="208"/>
      <c r="F214" s="252" t="s">
        <v>10</v>
      </c>
      <c r="G214" s="253" t="s">
        <v>5</v>
      </c>
      <c r="H214" s="254">
        <v>7.0000000000000007E-2</v>
      </c>
      <c r="I214" s="254">
        <v>7.0000000000000007E-2</v>
      </c>
    </row>
    <row r="215" spans="1:11" s="132" customFormat="1" ht="17" thickBot="1" x14ac:dyDescent="0.25">
      <c r="A215" s="155"/>
      <c r="B215" s="195"/>
      <c r="C215" s="196" t="s">
        <v>130</v>
      </c>
      <c r="D215" s="208">
        <f>COUNTIF(208:208,"Short Asset")</f>
        <v>0</v>
      </c>
      <c r="E215" s="208"/>
      <c r="F215" s="255"/>
      <c r="G215" s="256"/>
      <c r="H215" s="257" t="s">
        <v>40</v>
      </c>
      <c r="I215" s="257" t="s">
        <v>40</v>
      </c>
    </row>
    <row r="216" spans="1:11" s="132" customFormat="1" ht="20" thickBot="1" x14ac:dyDescent="0.3">
      <c r="A216" s="155"/>
      <c r="B216" s="195"/>
      <c r="C216" s="196" t="s">
        <v>152</v>
      </c>
      <c r="D216" s="208">
        <f>COUNTIF(208:208,"Long Futures")</f>
        <v>0</v>
      </c>
      <c r="E216" s="208"/>
      <c r="F216" s="560" t="s">
        <v>66</v>
      </c>
      <c r="G216" s="561"/>
      <c r="H216" s="241" t="s">
        <v>40</v>
      </c>
      <c r="I216" s="257" t="s">
        <v>40</v>
      </c>
    </row>
    <row r="217" spans="1:11" s="132" customFormat="1" ht="17" thickBot="1" x14ac:dyDescent="0.25">
      <c r="A217" s="155"/>
      <c r="B217" s="195"/>
      <c r="C217" s="196" t="s">
        <v>153</v>
      </c>
      <c r="D217" s="208">
        <f>COUNTIF(208:208,"Short Futures")</f>
        <v>0</v>
      </c>
      <c r="E217" s="216"/>
      <c r="F217" s="243" t="s">
        <v>6</v>
      </c>
      <c r="G217" s="258" t="s">
        <v>2</v>
      </c>
      <c r="H217" s="245">
        <v>31</v>
      </c>
      <c r="I217" s="245">
        <v>29</v>
      </c>
    </row>
    <row r="218" spans="1:11" s="132" customFormat="1" ht="17" thickBot="1" x14ac:dyDescent="0.25">
      <c r="A218" s="155"/>
      <c r="B218" s="195"/>
      <c r="C218" s="196"/>
      <c r="D218" s="208"/>
      <c r="E218" s="208"/>
      <c r="F218" s="247" t="s">
        <v>11</v>
      </c>
      <c r="G218" s="251" t="s">
        <v>12</v>
      </c>
      <c r="H218" s="250">
        <v>8.2191781000000005E-2</v>
      </c>
      <c r="I218" s="250">
        <v>8.2191780000000006E-2</v>
      </c>
    </row>
    <row r="219" spans="1:11" s="132" customFormat="1" ht="17" thickBot="1" x14ac:dyDescent="0.25">
      <c r="A219" s="155"/>
      <c r="B219" s="195"/>
      <c r="C219" s="196" t="s">
        <v>131</v>
      </c>
      <c r="D219" s="216">
        <f>COUNTA(208:208)</f>
        <v>2</v>
      </c>
      <c r="E219" s="208"/>
      <c r="F219" s="252" t="s">
        <v>78</v>
      </c>
      <c r="G219" s="253" t="s">
        <v>70</v>
      </c>
      <c r="H219" s="259">
        <v>1.008286848</v>
      </c>
      <c r="I219" s="259">
        <v>1.089012E-2</v>
      </c>
    </row>
    <row r="220" spans="1:11" s="132" customFormat="1" ht="17" thickBot="1" x14ac:dyDescent="0.25">
      <c r="A220" s="155"/>
      <c r="B220" s="195"/>
      <c r="C220" s="196"/>
      <c r="D220" s="208"/>
      <c r="E220" s="208"/>
    </row>
    <row r="221" spans="1:11" s="132" customFormat="1" ht="17" thickBot="1" x14ac:dyDescent="0.25">
      <c r="A221" s="155"/>
      <c r="B221" s="195">
        <v>16</v>
      </c>
      <c r="C221" s="203"/>
      <c r="D221" s="204"/>
      <c r="E221" s="204" t="s">
        <v>99</v>
      </c>
      <c r="F221" s="523" t="s">
        <v>155</v>
      </c>
      <c r="G221" s="524"/>
      <c r="H221" s="309">
        <v>1</v>
      </c>
      <c r="I221" s="310">
        <v>1</v>
      </c>
      <c r="J221" s="310">
        <v>1</v>
      </c>
      <c r="K221" s="310">
        <v>1</v>
      </c>
    </row>
    <row r="222" spans="1:11" s="132" customFormat="1" ht="17" thickBot="1" x14ac:dyDescent="0.25">
      <c r="A222" s="155"/>
      <c r="B222" s="195"/>
      <c r="C222" s="203"/>
      <c r="D222" s="206"/>
      <c r="E222" s="206"/>
      <c r="F222" s="302"/>
      <c r="G222" s="302"/>
      <c r="H222" s="307" t="s">
        <v>60</v>
      </c>
      <c r="I222" s="307" t="s">
        <v>62</v>
      </c>
      <c r="J222" s="307" t="s">
        <v>61</v>
      </c>
      <c r="K222" s="307" t="s">
        <v>63</v>
      </c>
    </row>
    <row r="223" spans="1:11" s="132" customFormat="1" ht="17" thickBot="1" x14ac:dyDescent="0.25">
      <c r="A223" s="155"/>
      <c r="B223" s="195"/>
      <c r="C223" s="196"/>
      <c r="D223" s="208"/>
      <c r="E223" s="208"/>
      <c r="F223" s="156"/>
      <c r="G223" s="156"/>
      <c r="H223" s="149" t="s">
        <v>71</v>
      </c>
      <c r="I223" s="149" t="s">
        <v>75</v>
      </c>
      <c r="J223" s="149" t="s">
        <v>72</v>
      </c>
      <c r="K223" s="149" t="s">
        <v>73</v>
      </c>
    </row>
    <row r="224" spans="1:11" s="132" customFormat="1" ht="20" thickBot="1" x14ac:dyDescent="0.3">
      <c r="A224" s="155"/>
      <c r="B224" s="195"/>
      <c r="C224" s="196" t="s">
        <v>125</v>
      </c>
      <c r="D224" s="208">
        <v>1</v>
      </c>
      <c r="E224" s="208"/>
      <c r="F224" s="491" t="s">
        <v>65</v>
      </c>
      <c r="G224" s="492"/>
      <c r="H224" s="152" t="s">
        <v>40</v>
      </c>
      <c r="I224" s="153" t="s">
        <v>40</v>
      </c>
      <c r="J224" s="153" t="s">
        <v>40</v>
      </c>
      <c r="K224" s="153" t="s">
        <v>40</v>
      </c>
    </row>
    <row r="225" spans="1:11" s="132" customFormat="1" x14ac:dyDescent="0.2">
      <c r="A225" s="155"/>
      <c r="B225" s="195"/>
      <c r="C225" s="196" t="s">
        <v>126</v>
      </c>
      <c r="D225" s="208">
        <v>1</v>
      </c>
      <c r="E225" s="208"/>
      <c r="F225" s="293" t="s">
        <v>7</v>
      </c>
      <c r="G225" s="294" t="s">
        <v>1</v>
      </c>
      <c r="H225" s="218">
        <v>50</v>
      </c>
      <c r="I225" s="287">
        <v>50</v>
      </c>
      <c r="J225" s="290">
        <v>50</v>
      </c>
      <c r="K225" s="287">
        <v>50</v>
      </c>
    </row>
    <row r="226" spans="1:11" s="132" customFormat="1" x14ac:dyDescent="0.2">
      <c r="A226" s="155"/>
      <c r="B226" s="195"/>
      <c r="C226" s="196" t="s">
        <v>127</v>
      </c>
      <c r="D226" s="208">
        <v>1</v>
      </c>
      <c r="E226" s="208"/>
      <c r="F226" s="295" t="s">
        <v>8</v>
      </c>
      <c r="G226" s="296" t="s">
        <v>3</v>
      </c>
      <c r="H226" s="286">
        <v>2E-3</v>
      </c>
      <c r="I226" s="288">
        <v>2E-3</v>
      </c>
      <c r="J226" s="288">
        <v>2E-3</v>
      </c>
      <c r="K226" s="288">
        <v>2E-3</v>
      </c>
    </row>
    <row r="227" spans="1:11" s="132" customFormat="1" x14ac:dyDescent="0.2">
      <c r="A227" s="155"/>
      <c r="B227" s="195"/>
      <c r="C227" s="196" t="s">
        <v>128</v>
      </c>
      <c r="D227" s="208">
        <v>1</v>
      </c>
      <c r="E227" s="208"/>
      <c r="F227" s="295" t="s">
        <v>9</v>
      </c>
      <c r="G227" s="297" t="s">
        <v>4</v>
      </c>
      <c r="H227" s="222">
        <v>0</v>
      </c>
      <c r="I227" s="288">
        <v>0</v>
      </c>
      <c r="J227" s="288">
        <v>0</v>
      </c>
      <c r="K227" s="288">
        <v>0</v>
      </c>
    </row>
    <row r="228" spans="1:11" s="132" customFormat="1" ht="17" thickBot="1" x14ac:dyDescent="0.25">
      <c r="A228" s="155"/>
      <c r="B228" s="195"/>
      <c r="C228" s="196" t="s">
        <v>129</v>
      </c>
      <c r="D228" s="208">
        <v>0</v>
      </c>
      <c r="E228" s="208"/>
      <c r="F228" s="298" t="s">
        <v>10</v>
      </c>
      <c r="G228" s="299" t="s">
        <v>5</v>
      </c>
      <c r="H228" s="223">
        <v>7.0000000000000007E-2</v>
      </c>
      <c r="I228" s="289">
        <v>7.0000000000000007E-2</v>
      </c>
      <c r="J228" s="289">
        <v>7.0000000000000007E-2</v>
      </c>
      <c r="K228" s="289">
        <v>7.0000000000000007E-2</v>
      </c>
    </row>
    <row r="229" spans="1:11" s="132" customFormat="1" ht="17" thickBot="1" x14ac:dyDescent="0.25">
      <c r="A229" s="155"/>
      <c r="B229" s="195"/>
      <c r="C229" s="196" t="s">
        <v>130</v>
      </c>
      <c r="D229" s="208">
        <v>0</v>
      </c>
      <c r="E229" s="208"/>
      <c r="F229" s="171"/>
      <c r="G229" s="266"/>
      <c r="H229" s="173" t="s">
        <v>40</v>
      </c>
      <c r="I229" s="267" t="s">
        <v>40</v>
      </c>
      <c r="J229" s="267" t="s">
        <v>40</v>
      </c>
      <c r="K229" s="267" t="s">
        <v>40</v>
      </c>
    </row>
    <row r="230" spans="1:11" s="132" customFormat="1" ht="20" thickBot="1" x14ac:dyDescent="0.3">
      <c r="A230" s="155"/>
      <c r="B230" s="195"/>
      <c r="C230" s="196" t="s">
        <v>152</v>
      </c>
      <c r="D230" s="208">
        <v>0</v>
      </c>
      <c r="E230" s="208"/>
      <c r="F230" s="491" t="s">
        <v>66</v>
      </c>
      <c r="G230" s="522"/>
      <c r="H230" s="174" t="s">
        <v>40</v>
      </c>
      <c r="I230" s="267" t="s">
        <v>40</v>
      </c>
      <c r="J230" s="267" t="s">
        <v>40</v>
      </c>
      <c r="K230" s="267" t="s">
        <v>40</v>
      </c>
    </row>
    <row r="231" spans="1:11" s="132" customFormat="1" ht="52" thickBot="1" x14ac:dyDescent="0.25">
      <c r="A231" s="155"/>
      <c r="B231" s="195"/>
      <c r="C231" s="196" t="s">
        <v>153</v>
      </c>
      <c r="D231" s="208">
        <v>0</v>
      </c>
      <c r="E231" s="216"/>
      <c r="F231" s="300" t="s">
        <v>154</v>
      </c>
      <c r="G231" s="301" t="s">
        <v>2</v>
      </c>
      <c r="H231" s="218">
        <v>53</v>
      </c>
      <c r="I231" s="290">
        <v>52</v>
      </c>
      <c r="J231" s="290">
        <v>47</v>
      </c>
      <c r="K231" s="290">
        <v>48</v>
      </c>
    </row>
    <row r="232" spans="1:11" s="132" customFormat="1" ht="17" thickBot="1" x14ac:dyDescent="0.25">
      <c r="A232" s="155"/>
      <c r="B232" s="195"/>
      <c r="C232" s="196"/>
      <c r="D232" s="208"/>
      <c r="E232" s="208"/>
      <c r="F232" s="295" t="s">
        <v>11</v>
      </c>
      <c r="G232" s="297" t="s">
        <v>12</v>
      </c>
      <c r="H232" s="222">
        <v>1</v>
      </c>
      <c r="I232" s="222">
        <v>1</v>
      </c>
      <c r="J232" s="222">
        <v>1</v>
      </c>
      <c r="K232" s="222">
        <v>1</v>
      </c>
    </row>
    <row r="233" spans="1:11" s="132" customFormat="1" ht="17" thickBot="1" x14ac:dyDescent="0.25">
      <c r="A233" s="155"/>
      <c r="B233" s="195"/>
      <c r="C233" s="196" t="s">
        <v>131</v>
      </c>
      <c r="D233" s="216">
        <v>4</v>
      </c>
      <c r="E233" s="208"/>
      <c r="F233" s="298" t="s">
        <v>78</v>
      </c>
      <c r="G233" s="299" t="s">
        <v>70</v>
      </c>
      <c r="H233" s="219">
        <v>0.42965268157892894</v>
      </c>
      <c r="I233" s="291">
        <v>0.67080508808978023</v>
      </c>
      <c r="J233" s="291">
        <v>0.33260163436522333</v>
      </c>
      <c r="K233" s="291">
        <v>0.56670634029860423</v>
      </c>
    </row>
    <row r="234" spans="1:11" s="132" customFormat="1" ht="17" thickBot="1" x14ac:dyDescent="0.25">
      <c r="A234" s="155"/>
      <c r="B234" s="195"/>
      <c r="C234" s="196"/>
      <c r="D234" s="208"/>
      <c r="E234" s="208"/>
      <c r="F234" s="313"/>
      <c r="G234" s="313"/>
      <c r="H234" s="313" t="s">
        <v>40</v>
      </c>
      <c r="I234" s="313" t="s">
        <v>40</v>
      </c>
      <c r="J234" s="313" t="s">
        <v>40</v>
      </c>
      <c r="K234" s="313" t="s">
        <v>40</v>
      </c>
    </row>
    <row r="235" spans="1:11" ht="17" customHeight="1" thickBot="1" x14ac:dyDescent="0.25">
      <c r="B235" s="195">
        <v>17</v>
      </c>
      <c r="C235" s="203"/>
      <c r="D235" s="204"/>
      <c r="E235" s="204" t="s">
        <v>161</v>
      </c>
      <c r="F235" s="523" t="s">
        <v>155</v>
      </c>
      <c r="G235" s="524"/>
      <c r="H235" s="315">
        <v>1</v>
      </c>
      <c r="I235" s="315">
        <v>1</v>
      </c>
      <c r="J235" s="315">
        <v>1</v>
      </c>
      <c r="K235" s="315">
        <v>1</v>
      </c>
    </row>
    <row r="236" spans="1:11" ht="17" thickBot="1" x14ac:dyDescent="0.25">
      <c r="C236" s="203"/>
      <c r="D236" s="206"/>
      <c r="F236" s="145"/>
      <c r="G236" s="145"/>
      <c r="H236" s="146" t="s">
        <v>62</v>
      </c>
      <c r="I236" s="147" t="s">
        <v>60</v>
      </c>
      <c r="J236" s="146" t="s">
        <v>63</v>
      </c>
      <c r="K236" s="147" t="s">
        <v>61</v>
      </c>
    </row>
    <row r="237" spans="1:11" ht="17" thickBot="1" x14ac:dyDescent="0.25">
      <c r="F237" s="148"/>
      <c r="G237" s="148"/>
      <c r="H237" s="149" t="s">
        <v>75</v>
      </c>
      <c r="I237" s="149" t="s">
        <v>71</v>
      </c>
      <c r="J237" s="149" t="s">
        <v>73</v>
      </c>
      <c r="K237" s="149" t="s">
        <v>72</v>
      </c>
    </row>
    <row r="238" spans="1:11" ht="20" thickBot="1" x14ac:dyDescent="0.3">
      <c r="C238" s="196" t="s">
        <v>125</v>
      </c>
      <c r="D238" s="208">
        <v>1</v>
      </c>
      <c r="F238" s="556" t="s">
        <v>65</v>
      </c>
      <c r="G238" s="557"/>
      <c r="H238" s="152" t="s">
        <v>40</v>
      </c>
      <c r="I238" s="153" t="s">
        <v>40</v>
      </c>
      <c r="J238" s="153" t="s">
        <v>40</v>
      </c>
      <c r="K238" s="153" t="s">
        <v>40</v>
      </c>
    </row>
    <row r="239" spans="1:11" x14ac:dyDescent="0.2">
      <c r="C239" s="196" t="s">
        <v>126</v>
      </c>
      <c r="D239" s="208">
        <v>1</v>
      </c>
      <c r="F239" s="157" t="s">
        <v>7</v>
      </c>
      <c r="G239" s="316" t="s">
        <v>1</v>
      </c>
      <c r="H239" s="245">
        <v>50</v>
      </c>
      <c r="I239" s="246">
        <v>50</v>
      </c>
      <c r="J239" s="245">
        <v>50</v>
      </c>
      <c r="K239" s="246">
        <v>50</v>
      </c>
    </row>
    <row r="240" spans="1:11" x14ac:dyDescent="0.2">
      <c r="C240" s="196" t="s">
        <v>127</v>
      </c>
      <c r="D240" s="208">
        <v>1</v>
      </c>
      <c r="F240" s="163" t="s">
        <v>8</v>
      </c>
      <c r="G240" s="164" t="s">
        <v>3</v>
      </c>
      <c r="H240" s="249">
        <v>2E-3</v>
      </c>
      <c r="I240" s="250">
        <v>2E-3</v>
      </c>
      <c r="J240" s="250">
        <v>2E-3</v>
      </c>
      <c r="K240" s="250">
        <v>2E-3</v>
      </c>
    </row>
    <row r="241" spans="1:11" x14ac:dyDescent="0.2">
      <c r="C241" s="196" t="s">
        <v>128</v>
      </c>
      <c r="D241" s="208">
        <v>1</v>
      </c>
      <c r="F241" s="163" t="s">
        <v>9</v>
      </c>
      <c r="G241" s="166" t="s">
        <v>4</v>
      </c>
      <c r="H241" s="250">
        <v>0</v>
      </c>
      <c r="I241" s="250">
        <v>0</v>
      </c>
      <c r="J241" s="250">
        <v>0</v>
      </c>
      <c r="K241" s="250">
        <v>0</v>
      </c>
    </row>
    <row r="242" spans="1:11" ht="17" thickBot="1" x14ac:dyDescent="0.25">
      <c r="C242" s="196" t="s">
        <v>129</v>
      </c>
      <c r="D242" s="208">
        <v>0</v>
      </c>
      <c r="F242" s="168" t="s">
        <v>10</v>
      </c>
      <c r="G242" s="314" t="s">
        <v>5</v>
      </c>
      <c r="H242" s="254">
        <v>7.0000000000000007E-2</v>
      </c>
      <c r="I242" s="254">
        <v>7.0000000000000007E-2</v>
      </c>
      <c r="J242" s="254">
        <v>7.0000000000000007E-2</v>
      </c>
      <c r="K242" s="254">
        <v>7.0000000000000007E-2</v>
      </c>
    </row>
    <row r="243" spans="1:11" ht="17" thickBot="1" x14ac:dyDescent="0.25">
      <c r="C243" s="196" t="s">
        <v>130</v>
      </c>
      <c r="D243" s="208">
        <v>0</v>
      </c>
      <c r="F243" s="171"/>
      <c r="G243" s="172"/>
      <c r="H243" s="257" t="s">
        <v>40</v>
      </c>
      <c r="I243" s="257" t="s">
        <v>40</v>
      </c>
      <c r="J243" s="257" t="s">
        <v>40</v>
      </c>
      <c r="K243" s="257" t="s">
        <v>40</v>
      </c>
    </row>
    <row r="244" spans="1:11" ht="20" thickBot="1" x14ac:dyDescent="0.3">
      <c r="C244" s="196" t="s">
        <v>152</v>
      </c>
      <c r="D244" s="208">
        <v>0</v>
      </c>
      <c r="F244" s="558" t="s">
        <v>66</v>
      </c>
      <c r="G244" s="559"/>
      <c r="H244" s="241" t="s">
        <v>40</v>
      </c>
      <c r="I244" s="257" t="s">
        <v>40</v>
      </c>
      <c r="J244" s="257" t="s">
        <v>40</v>
      </c>
      <c r="K244" s="257" t="s">
        <v>40</v>
      </c>
    </row>
    <row r="245" spans="1:11" x14ac:dyDescent="0.2">
      <c r="C245" s="196" t="s">
        <v>153</v>
      </c>
      <c r="D245" s="208">
        <v>0</v>
      </c>
      <c r="F245" s="157" t="s">
        <v>154</v>
      </c>
      <c r="G245" s="175" t="s">
        <v>2</v>
      </c>
      <c r="H245" s="245">
        <v>53</v>
      </c>
      <c r="I245" s="245">
        <v>52</v>
      </c>
      <c r="J245" s="245">
        <v>47</v>
      </c>
      <c r="K245" s="245">
        <v>48</v>
      </c>
    </row>
    <row r="246" spans="1:11" x14ac:dyDescent="0.2">
      <c r="F246" s="163" t="s">
        <v>11</v>
      </c>
      <c r="G246" s="166" t="s">
        <v>12</v>
      </c>
      <c r="H246" s="250">
        <v>1</v>
      </c>
      <c r="I246" s="250">
        <v>1</v>
      </c>
      <c r="J246" s="250">
        <v>1</v>
      </c>
      <c r="K246" s="250">
        <v>1</v>
      </c>
    </row>
    <row r="247" spans="1:11" ht="17" thickBot="1" x14ac:dyDescent="0.25">
      <c r="C247" s="196" t="s">
        <v>131</v>
      </c>
      <c r="D247" s="208">
        <v>4</v>
      </c>
      <c r="F247" s="168" t="s">
        <v>78</v>
      </c>
      <c r="G247" s="314" t="s">
        <v>70</v>
      </c>
      <c r="H247" s="264">
        <v>0.42965268157892894</v>
      </c>
      <c r="I247" s="259">
        <v>0.67080508808978023</v>
      </c>
      <c r="J247" s="259">
        <v>0.33260163436522333</v>
      </c>
      <c r="K247" s="259">
        <v>0.56670634029860423</v>
      </c>
    </row>
    <row r="248" spans="1:11" ht="17" thickBot="1" x14ac:dyDescent="0.25">
      <c r="F248" s="365"/>
      <c r="G248" s="365"/>
      <c r="H248" s="365" t="s">
        <v>40</v>
      </c>
      <c r="I248" s="365" t="s">
        <v>40</v>
      </c>
      <c r="J248" s="365" t="s">
        <v>40</v>
      </c>
      <c r="K248" s="365" t="s">
        <v>40</v>
      </c>
    </row>
    <row r="249" spans="1:11" s="132" customFormat="1" ht="17" thickBot="1" x14ac:dyDescent="0.25">
      <c r="A249" s="155"/>
      <c r="B249" s="195">
        <v>18</v>
      </c>
      <c r="C249" s="203"/>
      <c r="D249" s="204"/>
      <c r="E249" s="204" t="s">
        <v>100</v>
      </c>
      <c r="F249" s="523" t="s">
        <v>155</v>
      </c>
      <c r="G249" s="524"/>
      <c r="H249" s="277">
        <v>1</v>
      </c>
      <c r="I249" s="277">
        <v>1</v>
      </c>
    </row>
    <row r="250" spans="1:11" s="132" customFormat="1" ht="20" thickBot="1" x14ac:dyDescent="0.3">
      <c r="A250" s="155"/>
      <c r="B250" s="195"/>
      <c r="C250" s="203"/>
      <c r="D250" s="206"/>
      <c r="E250" s="206"/>
      <c r="F250" s="225"/>
      <c r="G250" s="145"/>
      <c r="H250" s="146" t="s">
        <v>60</v>
      </c>
      <c r="I250" s="146" t="s">
        <v>61</v>
      </c>
    </row>
    <row r="251" spans="1:11" s="132" customFormat="1" ht="17" thickBot="1" x14ac:dyDescent="0.25">
      <c r="A251" s="155"/>
      <c r="B251" s="195"/>
      <c r="C251" s="196"/>
      <c r="D251" s="208"/>
      <c r="E251" s="208"/>
      <c r="F251" s="148"/>
      <c r="G251" s="148"/>
      <c r="H251" s="149" t="s">
        <v>71</v>
      </c>
      <c r="I251" s="149" t="s">
        <v>72</v>
      </c>
    </row>
    <row r="252" spans="1:11" s="132" customFormat="1" ht="20" thickBot="1" x14ac:dyDescent="0.3">
      <c r="A252" s="155"/>
      <c r="B252" s="195"/>
      <c r="C252" s="196" t="s">
        <v>125</v>
      </c>
      <c r="D252" s="208">
        <f>COUNTIF(250:250,"Long Call")</f>
        <v>1</v>
      </c>
      <c r="E252" s="208"/>
      <c r="F252" s="556" t="s">
        <v>65</v>
      </c>
      <c r="G252" s="557"/>
      <c r="H252" s="152" t="s">
        <v>40</v>
      </c>
      <c r="I252" s="153" t="s">
        <v>40</v>
      </c>
    </row>
    <row r="253" spans="1:11" s="132" customFormat="1" x14ac:dyDescent="0.2">
      <c r="A253" s="155"/>
      <c r="B253" s="195"/>
      <c r="C253" s="196" t="s">
        <v>126</v>
      </c>
      <c r="D253" s="208">
        <f>COUNTIF(250:250,"Short Call")</f>
        <v>0</v>
      </c>
      <c r="E253" s="208"/>
      <c r="F253" s="157" t="s">
        <v>7</v>
      </c>
      <c r="G253" s="158" t="s">
        <v>1</v>
      </c>
      <c r="H253" s="245">
        <v>50</v>
      </c>
      <c r="I253" s="221">
        <v>50</v>
      </c>
    </row>
    <row r="254" spans="1:11" s="132" customFormat="1" x14ac:dyDescent="0.2">
      <c r="A254" s="155"/>
      <c r="B254" s="195"/>
      <c r="C254" s="196" t="s">
        <v>127</v>
      </c>
      <c r="D254" s="208">
        <f>COUNTIF(250:250,"Long Put")</f>
        <v>1</v>
      </c>
      <c r="E254" s="208"/>
      <c r="F254" s="163" t="s">
        <v>8</v>
      </c>
      <c r="G254" s="164" t="s">
        <v>3</v>
      </c>
      <c r="H254" s="249">
        <v>2E-3</v>
      </c>
      <c r="I254" s="222">
        <v>2E-3</v>
      </c>
    </row>
    <row r="255" spans="1:11" s="132" customFormat="1" x14ac:dyDescent="0.2">
      <c r="A255" s="155"/>
      <c r="B255" s="195"/>
      <c r="C255" s="196" t="s">
        <v>128</v>
      </c>
      <c r="D255" s="208">
        <f>COUNTIF(250:250,"Short Put")</f>
        <v>0</v>
      </c>
      <c r="E255" s="208"/>
      <c r="F255" s="163" t="s">
        <v>9</v>
      </c>
      <c r="G255" s="166" t="s">
        <v>4</v>
      </c>
      <c r="H255" s="250">
        <v>0</v>
      </c>
      <c r="I255" s="222">
        <v>0</v>
      </c>
    </row>
    <row r="256" spans="1:11" s="132" customFormat="1" ht="17" thickBot="1" x14ac:dyDescent="0.25">
      <c r="A256" s="155"/>
      <c r="B256" s="195"/>
      <c r="C256" s="196" t="s">
        <v>129</v>
      </c>
      <c r="D256" s="208">
        <f>COUNTIF(250:250,"Long Asset")</f>
        <v>0</v>
      </c>
      <c r="E256" s="208"/>
      <c r="F256" s="168" t="s">
        <v>10</v>
      </c>
      <c r="G256" s="194" t="s">
        <v>5</v>
      </c>
      <c r="H256" s="254">
        <v>7.0000000000000007E-2</v>
      </c>
      <c r="I256" s="223">
        <v>7.0000000000000007E-2</v>
      </c>
    </row>
    <row r="257" spans="1:9" s="132" customFormat="1" ht="17" thickBot="1" x14ac:dyDescent="0.25">
      <c r="A257" s="155"/>
      <c r="B257" s="195"/>
      <c r="C257" s="196" t="s">
        <v>130</v>
      </c>
      <c r="D257" s="208">
        <f>COUNTIF(250:250,"Short Asset")</f>
        <v>0</v>
      </c>
      <c r="E257" s="208"/>
      <c r="F257" s="171"/>
      <c r="G257" s="172"/>
      <c r="H257" s="257" t="s">
        <v>40</v>
      </c>
      <c r="I257" s="173" t="s">
        <v>40</v>
      </c>
    </row>
    <row r="258" spans="1:9" s="132" customFormat="1" ht="20" thickBot="1" x14ac:dyDescent="0.3">
      <c r="A258" s="155"/>
      <c r="B258" s="195"/>
      <c r="C258" s="196" t="s">
        <v>152</v>
      </c>
      <c r="D258" s="208">
        <f>COUNTIF(250:250,"Long Futures")</f>
        <v>0</v>
      </c>
      <c r="E258" s="208"/>
      <c r="F258" s="558" t="s">
        <v>66</v>
      </c>
      <c r="G258" s="559"/>
      <c r="H258" s="241" t="s">
        <v>40</v>
      </c>
      <c r="I258" s="173" t="s">
        <v>40</v>
      </c>
    </row>
    <row r="259" spans="1:9" s="132" customFormat="1" ht="17" thickBot="1" x14ac:dyDescent="0.25">
      <c r="A259" s="155"/>
      <c r="B259" s="195"/>
      <c r="C259" s="196" t="s">
        <v>153</v>
      </c>
      <c r="D259" s="208">
        <f>COUNTIF(250:250,"Short Futures")</f>
        <v>0</v>
      </c>
      <c r="E259" s="216"/>
      <c r="F259" s="157" t="s">
        <v>6</v>
      </c>
      <c r="G259" s="175" t="s">
        <v>2</v>
      </c>
      <c r="H259" s="245">
        <v>50</v>
      </c>
      <c r="I259" s="218">
        <v>50</v>
      </c>
    </row>
    <row r="260" spans="1:9" s="132" customFormat="1" ht="17" thickBot="1" x14ac:dyDescent="0.25">
      <c r="A260" s="155"/>
      <c r="B260" s="195"/>
      <c r="C260" s="196"/>
      <c r="D260" s="208"/>
      <c r="E260" s="208"/>
      <c r="F260" s="163" t="s">
        <v>11</v>
      </c>
      <c r="G260" s="166" t="s">
        <v>12</v>
      </c>
      <c r="H260" s="250">
        <v>8.2191781000000005E-2</v>
      </c>
      <c r="I260" s="222">
        <v>8.2191781000000005E-2</v>
      </c>
    </row>
    <row r="261" spans="1:9" s="132" customFormat="1" ht="17" thickBot="1" x14ac:dyDescent="0.25">
      <c r="A261" s="155"/>
      <c r="B261" s="195"/>
      <c r="C261" s="196" t="s">
        <v>131</v>
      </c>
      <c r="D261" s="216">
        <f>COUNTA(250:250)</f>
        <v>2</v>
      </c>
      <c r="E261" s="208"/>
      <c r="F261" s="168" t="s">
        <v>78</v>
      </c>
      <c r="G261" s="194" t="s">
        <v>70</v>
      </c>
      <c r="H261" s="259">
        <v>0.40438925283541222</v>
      </c>
      <c r="I261" s="224">
        <v>0.39617075024727277</v>
      </c>
    </row>
    <row r="262" spans="1:9" s="132" customFormat="1" ht="17" thickBot="1" x14ac:dyDescent="0.25">
      <c r="A262" s="155"/>
      <c r="B262" s="195"/>
      <c r="C262" s="196"/>
      <c r="D262" s="208"/>
      <c r="E262" s="208"/>
    </row>
    <row r="263" spans="1:9" s="132" customFormat="1" ht="17" thickBot="1" x14ac:dyDescent="0.25">
      <c r="A263" s="155"/>
      <c r="B263" s="195">
        <v>19</v>
      </c>
      <c r="C263" s="203"/>
      <c r="D263" s="204"/>
      <c r="E263" s="204" t="s">
        <v>101</v>
      </c>
      <c r="F263" s="523" t="s">
        <v>155</v>
      </c>
      <c r="G263" s="524"/>
      <c r="H263" s="277">
        <v>1</v>
      </c>
      <c r="I263" s="277">
        <v>1</v>
      </c>
    </row>
    <row r="264" spans="1:9" s="132" customFormat="1" ht="20" thickBot="1" x14ac:dyDescent="0.3">
      <c r="A264" s="155"/>
      <c r="B264" s="195"/>
      <c r="C264" s="203"/>
      <c r="D264" s="206"/>
      <c r="E264" s="206"/>
      <c r="F264" s="225"/>
      <c r="G264" s="260"/>
      <c r="H264" s="261" t="s">
        <v>62</v>
      </c>
      <c r="I264" s="262" t="s">
        <v>63</v>
      </c>
    </row>
    <row r="265" spans="1:9" s="132" customFormat="1" ht="17" thickBot="1" x14ac:dyDescent="0.25">
      <c r="A265" s="155"/>
      <c r="B265" s="195"/>
      <c r="C265" s="196"/>
      <c r="D265" s="208"/>
      <c r="E265" s="208"/>
      <c r="F265" s="239"/>
      <c r="G265" s="239"/>
      <c r="H265" s="240" t="s">
        <v>75</v>
      </c>
      <c r="I265" s="240" t="s">
        <v>73</v>
      </c>
    </row>
    <row r="266" spans="1:9" s="132" customFormat="1" ht="20" thickBot="1" x14ac:dyDescent="0.3">
      <c r="A266" s="155"/>
      <c r="B266" s="195"/>
      <c r="C266" s="196" t="s">
        <v>125</v>
      </c>
      <c r="D266" s="208">
        <f>COUNTIF(264:264,"Long Call")</f>
        <v>0</v>
      </c>
      <c r="E266" s="208"/>
      <c r="F266" s="560" t="s">
        <v>65</v>
      </c>
      <c r="G266" s="561"/>
      <c r="H266" s="241" t="s">
        <v>40</v>
      </c>
      <c r="I266" s="242" t="s">
        <v>40</v>
      </c>
    </row>
    <row r="267" spans="1:9" s="132" customFormat="1" x14ac:dyDescent="0.2">
      <c r="A267" s="155"/>
      <c r="B267" s="195"/>
      <c r="C267" s="196" t="s">
        <v>126</v>
      </c>
      <c r="D267" s="208">
        <f>COUNTIF(264:264,"Short Call")</f>
        <v>1</v>
      </c>
      <c r="E267" s="208"/>
      <c r="F267" s="243" t="s">
        <v>7</v>
      </c>
      <c r="G267" s="244" t="s">
        <v>1</v>
      </c>
      <c r="H267" s="245">
        <v>40</v>
      </c>
      <c r="I267" s="246">
        <v>40</v>
      </c>
    </row>
    <row r="268" spans="1:9" s="132" customFormat="1" x14ac:dyDescent="0.2">
      <c r="A268" s="155"/>
      <c r="B268" s="195"/>
      <c r="C268" s="196" t="s">
        <v>127</v>
      </c>
      <c r="D268" s="208">
        <f>COUNTIF(264:264,"Long Put")</f>
        <v>0</v>
      </c>
      <c r="E268" s="208"/>
      <c r="F268" s="247" t="s">
        <v>8</v>
      </c>
      <c r="G268" s="248" t="s">
        <v>3</v>
      </c>
      <c r="H268" s="249">
        <v>2E-3</v>
      </c>
      <c r="I268" s="250">
        <v>2E-3</v>
      </c>
    </row>
    <row r="269" spans="1:9" s="132" customFormat="1" x14ac:dyDescent="0.2">
      <c r="A269" s="155"/>
      <c r="B269" s="195"/>
      <c r="C269" s="196" t="s">
        <v>128</v>
      </c>
      <c r="D269" s="208">
        <f>COUNTIF(264:264,"Short Put")</f>
        <v>1</v>
      </c>
      <c r="E269" s="208"/>
      <c r="F269" s="247" t="s">
        <v>9</v>
      </c>
      <c r="G269" s="251" t="s">
        <v>4</v>
      </c>
      <c r="H269" s="250">
        <v>0</v>
      </c>
      <c r="I269" s="250">
        <v>0</v>
      </c>
    </row>
    <row r="270" spans="1:9" s="132" customFormat="1" ht="17" thickBot="1" x14ac:dyDescent="0.25">
      <c r="A270" s="155"/>
      <c r="B270" s="195"/>
      <c r="C270" s="196" t="s">
        <v>129</v>
      </c>
      <c r="D270" s="208">
        <f>COUNTIF(264:264,"Long Asset")</f>
        <v>0</v>
      </c>
      <c r="E270" s="208"/>
      <c r="F270" s="252" t="s">
        <v>10</v>
      </c>
      <c r="G270" s="253" t="s">
        <v>5</v>
      </c>
      <c r="H270" s="254">
        <v>7.0000000000000007E-2</v>
      </c>
      <c r="I270" s="254">
        <v>7.0000000000000007E-2</v>
      </c>
    </row>
    <row r="271" spans="1:9" s="132" customFormat="1" ht="17" thickBot="1" x14ac:dyDescent="0.25">
      <c r="A271" s="155"/>
      <c r="B271" s="195"/>
      <c r="C271" s="196" t="s">
        <v>130</v>
      </c>
      <c r="D271" s="208">
        <f>COUNTIF(264:264,"Short Asset")</f>
        <v>0</v>
      </c>
      <c r="E271" s="208"/>
      <c r="F271" s="255"/>
      <c r="G271" s="256"/>
      <c r="H271" s="257" t="s">
        <v>40</v>
      </c>
      <c r="I271" s="257" t="s">
        <v>40</v>
      </c>
    </row>
    <row r="272" spans="1:9" s="132" customFormat="1" ht="20" thickBot="1" x14ac:dyDescent="0.3">
      <c r="A272" s="155"/>
      <c r="B272" s="195"/>
      <c r="C272" s="196" t="s">
        <v>152</v>
      </c>
      <c r="D272" s="208">
        <f>COUNTIF(264:264,"Long Futures")</f>
        <v>0</v>
      </c>
      <c r="E272" s="208"/>
      <c r="F272" s="560" t="s">
        <v>66</v>
      </c>
      <c r="G272" s="561"/>
      <c r="H272" s="241" t="s">
        <v>40</v>
      </c>
      <c r="I272" s="257" t="s">
        <v>40</v>
      </c>
    </row>
    <row r="273" spans="1:9" s="132" customFormat="1" ht="17" thickBot="1" x14ac:dyDescent="0.25">
      <c r="A273" s="155"/>
      <c r="B273" s="195"/>
      <c r="C273" s="196" t="s">
        <v>153</v>
      </c>
      <c r="D273" s="208">
        <f>COUNTIF(264:264,"Short Futures")</f>
        <v>0</v>
      </c>
      <c r="E273" s="216"/>
      <c r="F273" s="243" t="s">
        <v>6</v>
      </c>
      <c r="G273" s="258" t="s">
        <v>2</v>
      </c>
      <c r="H273" s="245">
        <v>40</v>
      </c>
      <c r="I273" s="245">
        <v>40</v>
      </c>
    </row>
    <row r="274" spans="1:9" s="132" customFormat="1" ht="17" thickBot="1" x14ac:dyDescent="0.25">
      <c r="A274" s="155"/>
      <c r="B274" s="195"/>
      <c r="C274" s="196"/>
      <c r="D274" s="208"/>
      <c r="E274" s="208"/>
      <c r="F274" s="247" t="s">
        <v>11</v>
      </c>
      <c r="G274" s="251" t="s">
        <v>12</v>
      </c>
      <c r="H274" s="250">
        <v>8.2191781000000005E-2</v>
      </c>
      <c r="I274" s="250">
        <v>8.2191780000000006E-2</v>
      </c>
    </row>
    <row r="275" spans="1:9" s="132" customFormat="1" ht="17" thickBot="1" x14ac:dyDescent="0.25">
      <c r="A275" s="155"/>
      <c r="B275" s="195"/>
      <c r="C275" s="196" t="s">
        <v>131</v>
      </c>
      <c r="D275" s="216">
        <f>COUNTA(264:264)</f>
        <v>2</v>
      </c>
      <c r="E275" s="208"/>
      <c r="F275" s="252" t="s">
        <v>78</v>
      </c>
      <c r="G275" s="253" t="s">
        <v>70</v>
      </c>
      <c r="H275" s="259">
        <v>0.323511402</v>
      </c>
      <c r="I275" s="259">
        <v>0.31693660000000001</v>
      </c>
    </row>
    <row r="276" spans="1:9" s="132" customFormat="1" ht="17" thickBot="1" x14ac:dyDescent="0.25">
      <c r="A276" s="155"/>
      <c r="B276" s="195"/>
      <c r="C276" s="196"/>
      <c r="D276" s="208"/>
      <c r="E276" s="208"/>
    </row>
    <row r="277" spans="1:9" s="132" customFormat="1" ht="17" thickBot="1" x14ac:dyDescent="0.25">
      <c r="A277" s="155"/>
      <c r="B277" s="195">
        <v>20</v>
      </c>
      <c r="C277" s="203"/>
      <c r="D277" s="204"/>
      <c r="E277" s="204" t="s">
        <v>102</v>
      </c>
      <c r="F277" s="523" t="s">
        <v>155</v>
      </c>
      <c r="G277" s="524"/>
      <c r="H277" s="277">
        <v>1</v>
      </c>
      <c r="I277" s="277">
        <v>1</v>
      </c>
    </row>
    <row r="278" spans="1:9" s="132" customFormat="1" ht="20" thickBot="1" x14ac:dyDescent="0.3">
      <c r="A278" s="155"/>
      <c r="B278" s="195"/>
      <c r="C278" s="203"/>
      <c r="D278" s="206"/>
      <c r="E278" s="206"/>
      <c r="F278" s="225"/>
      <c r="G278" s="260"/>
      <c r="H278" s="261" t="s">
        <v>60</v>
      </c>
      <c r="I278" s="262" t="s">
        <v>61</v>
      </c>
    </row>
    <row r="279" spans="1:9" s="132" customFormat="1" ht="17" thickBot="1" x14ac:dyDescent="0.25">
      <c r="A279" s="155"/>
      <c r="B279" s="195"/>
      <c r="C279" s="196"/>
      <c r="D279" s="208"/>
      <c r="E279" s="208"/>
      <c r="F279" s="239"/>
      <c r="G279" s="239"/>
      <c r="H279" s="240" t="s">
        <v>71</v>
      </c>
      <c r="I279" s="240" t="s">
        <v>72</v>
      </c>
    </row>
    <row r="280" spans="1:9" s="132" customFormat="1" ht="20" thickBot="1" x14ac:dyDescent="0.3">
      <c r="A280" s="155"/>
      <c r="B280" s="195"/>
      <c r="C280" s="196" t="s">
        <v>125</v>
      </c>
      <c r="D280" s="208">
        <f>COUNTIF(278:278,"Long Call")</f>
        <v>1</v>
      </c>
      <c r="E280" s="208"/>
      <c r="F280" s="560" t="s">
        <v>65</v>
      </c>
      <c r="G280" s="561"/>
      <c r="H280" s="241" t="s">
        <v>40</v>
      </c>
      <c r="I280" s="242" t="s">
        <v>40</v>
      </c>
    </row>
    <row r="281" spans="1:9" s="132" customFormat="1" x14ac:dyDescent="0.2">
      <c r="A281" s="155"/>
      <c r="B281" s="195"/>
      <c r="C281" s="196" t="s">
        <v>126</v>
      </c>
      <c r="D281" s="208">
        <f>COUNTIF(278:278,"Short Call")</f>
        <v>0</v>
      </c>
      <c r="E281" s="208"/>
      <c r="F281" s="243" t="s">
        <v>7</v>
      </c>
      <c r="G281" s="244" t="s">
        <v>1</v>
      </c>
      <c r="H281" s="245">
        <v>40</v>
      </c>
      <c r="I281" s="246">
        <v>40</v>
      </c>
    </row>
    <row r="282" spans="1:9" s="132" customFormat="1" x14ac:dyDescent="0.2">
      <c r="A282" s="155"/>
      <c r="B282" s="195"/>
      <c r="C282" s="196" t="s">
        <v>127</v>
      </c>
      <c r="D282" s="208">
        <f>COUNTIF(278:278,"Long Put")</f>
        <v>1</v>
      </c>
      <c r="E282" s="208"/>
      <c r="F282" s="247" t="s">
        <v>8</v>
      </c>
      <c r="G282" s="248" t="s">
        <v>3</v>
      </c>
      <c r="H282" s="249">
        <v>2E-3</v>
      </c>
      <c r="I282" s="250">
        <v>2E-3</v>
      </c>
    </row>
    <row r="283" spans="1:9" s="132" customFormat="1" x14ac:dyDescent="0.2">
      <c r="A283" s="155"/>
      <c r="B283" s="195"/>
      <c r="C283" s="196" t="s">
        <v>128</v>
      </c>
      <c r="D283" s="208">
        <f>COUNTIF(278:278,"Short Put")</f>
        <v>0</v>
      </c>
      <c r="E283" s="208"/>
      <c r="F283" s="247" t="s">
        <v>9</v>
      </c>
      <c r="G283" s="251" t="s">
        <v>4</v>
      </c>
      <c r="H283" s="250">
        <v>0</v>
      </c>
      <c r="I283" s="250">
        <v>0</v>
      </c>
    </row>
    <row r="284" spans="1:9" s="132" customFormat="1" ht="17" thickBot="1" x14ac:dyDescent="0.25">
      <c r="A284" s="155"/>
      <c r="B284" s="195"/>
      <c r="C284" s="196" t="s">
        <v>129</v>
      </c>
      <c r="D284" s="208">
        <f>COUNTIF(278:278,"Long Asset")</f>
        <v>0</v>
      </c>
      <c r="E284" s="208"/>
      <c r="F284" s="252" t="s">
        <v>10</v>
      </c>
      <c r="G284" s="253" t="s">
        <v>5</v>
      </c>
      <c r="H284" s="254">
        <v>7.0000000000000007E-2</v>
      </c>
      <c r="I284" s="254">
        <v>7.0000000000000007E-2</v>
      </c>
    </row>
    <row r="285" spans="1:9" s="132" customFormat="1" ht="17" thickBot="1" x14ac:dyDescent="0.25">
      <c r="A285" s="155"/>
      <c r="B285" s="195"/>
      <c r="C285" s="196" t="s">
        <v>130</v>
      </c>
      <c r="D285" s="208">
        <f>COUNTIF(278:278,"Short Asset")</f>
        <v>0</v>
      </c>
      <c r="E285" s="208"/>
      <c r="F285" s="255"/>
      <c r="G285" s="256"/>
      <c r="H285" s="257" t="s">
        <v>40</v>
      </c>
      <c r="I285" s="257" t="s">
        <v>40</v>
      </c>
    </row>
    <row r="286" spans="1:9" s="132" customFormat="1" ht="20" thickBot="1" x14ac:dyDescent="0.3">
      <c r="A286" s="155"/>
      <c r="B286" s="195"/>
      <c r="C286" s="196" t="s">
        <v>152</v>
      </c>
      <c r="D286" s="208">
        <f>COUNTIF(278:278,"Long Futures")</f>
        <v>0</v>
      </c>
      <c r="E286" s="208"/>
      <c r="F286" s="560" t="s">
        <v>66</v>
      </c>
      <c r="G286" s="561"/>
      <c r="H286" s="241" t="s">
        <v>40</v>
      </c>
      <c r="I286" s="257" t="s">
        <v>40</v>
      </c>
    </row>
    <row r="287" spans="1:9" s="132" customFormat="1" ht="17" thickBot="1" x14ac:dyDescent="0.25">
      <c r="A287" s="155"/>
      <c r="B287" s="195"/>
      <c r="C287" s="196" t="s">
        <v>153</v>
      </c>
      <c r="D287" s="208">
        <f>COUNTIF(278:278,"Short Futures")</f>
        <v>0</v>
      </c>
      <c r="E287" s="216"/>
      <c r="F287" s="243" t="s">
        <v>6</v>
      </c>
      <c r="G287" s="258" t="s">
        <v>2</v>
      </c>
      <c r="H287" s="245">
        <v>38</v>
      </c>
      <c r="I287" s="245">
        <v>42</v>
      </c>
    </row>
    <row r="288" spans="1:9" s="132" customFormat="1" ht="17" thickBot="1" x14ac:dyDescent="0.25">
      <c r="A288" s="155"/>
      <c r="B288" s="195"/>
      <c r="C288" s="196"/>
      <c r="D288" s="208"/>
      <c r="E288" s="208"/>
      <c r="F288" s="247" t="s">
        <v>11</v>
      </c>
      <c r="G288" s="251" t="s">
        <v>12</v>
      </c>
      <c r="H288" s="250">
        <v>8.2191781000000005E-2</v>
      </c>
      <c r="I288" s="250">
        <v>8.2191780000000006E-2</v>
      </c>
    </row>
    <row r="289" spans="1:9" s="132" customFormat="1" ht="17" thickBot="1" x14ac:dyDescent="0.25">
      <c r="A289" s="155"/>
      <c r="B289" s="195"/>
      <c r="C289" s="196" t="s">
        <v>131</v>
      </c>
      <c r="D289" s="216">
        <f>COUNTA(278:278)</f>
        <v>2</v>
      </c>
      <c r="E289" s="208"/>
      <c r="F289" s="252" t="s">
        <v>78</v>
      </c>
      <c r="G289" s="253" t="s">
        <v>70</v>
      </c>
      <c r="H289" s="259">
        <v>2.0075291759999998</v>
      </c>
      <c r="I289" s="259">
        <v>1.9951835899999999</v>
      </c>
    </row>
    <row r="290" spans="1:9" s="132" customFormat="1" ht="17" thickBot="1" x14ac:dyDescent="0.25">
      <c r="A290" s="155"/>
      <c r="B290" s="195"/>
      <c r="C290" s="196"/>
      <c r="D290" s="208"/>
      <c r="E290" s="208"/>
    </row>
    <row r="291" spans="1:9" s="132" customFormat="1" ht="17" thickBot="1" x14ac:dyDescent="0.25">
      <c r="A291" s="155"/>
      <c r="B291" s="195">
        <v>21</v>
      </c>
      <c r="C291" s="203"/>
      <c r="D291" s="204"/>
      <c r="E291" s="204" t="s">
        <v>103</v>
      </c>
      <c r="F291" s="523" t="s">
        <v>155</v>
      </c>
      <c r="G291" s="524"/>
      <c r="H291" s="277">
        <v>1</v>
      </c>
      <c r="I291" s="277">
        <v>1</v>
      </c>
    </row>
    <row r="292" spans="1:9" s="132" customFormat="1" ht="20" thickBot="1" x14ac:dyDescent="0.3">
      <c r="A292" s="155"/>
      <c r="B292" s="195"/>
      <c r="C292" s="203"/>
      <c r="D292" s="206"/>
      <c r="E292" s="206"/>
      <c r="F292" s="225"/>
      <c r="G292" s="145"/>
      <c r="H292" s="146" t="s">
        <v>62</v>
      </c>
      <c r="I292" s="146" t="s">
        <v>63</v>
      </c>
    </row>
    <row r="293" spans="1:9" s="132" customFormat="1" ht="17" thickBot="1" x14ac:dyDescent="0.25">
      <c r="A293" s="155"/>
      <c r="B293" s="195"/>
      <c r="C293" s="196"/>
      <c r="D293" s="208"/>
      <c r="E293" s="208"/>
      <c r="F293" s="148"/>
      <c r="G293" s="148"/>
      <c r="H293" s="149" t="s">
        <v>75</v>
      </c>
      <c r="I293" s="149" t="s">
        <v>73</v>
      </c>
    </row>
    <row r="294" spans="1:9" s="132" customFormat="1" ht="20" thickBot="1" x14ac:dyDescent="0.3">
      <c r="A294" s="155"/>
      <c r="B294" s="195"/>
      <c r="C294" s="196" t="s">
        <v>125</v>
      </c>
      <c r="D294" s="208">
        <f>COUNTIF(292:292,"Long Call")</f>
        <v>0</v>
      </c>
      <c r="E294" s="208"/>
      <c r="F294" s="556" t="s">
        <v>65</v>
      </c>
      <c r="G294" s="557"/>
      <c r="H294" s="152" t="s">
        <v>40</v>
      </c>
      <c r="I294" s="153" t="s">
        <v>40</v>
      </c>
    </row>
    <row r="295" spans="1:9" s="132" customFormat="1" x14ac:dyDescent="0.2">
      <c r="A295" s="155"/>
      <c r="B295" s="195"/>
      <c r="C295" s="196" t="s">
        <v>126</v>
      </c>
      <c r="D295" s="208">
        <f>COUNTIF(292:292,"Short Call")</f>
        <v>1</v>
      </c>
      <c r="E295" s="208"/>
      <c r="F295" s="157" t="s">
        <v>7</v>
      </c>
      <c r="G295" s="158" t="s">
        <v>1</v>
      </c>
      <c r="H295" s="245">
        <v>25</v>
      </c>
      <c r="I295" s="221">
        <v>25</v>
      </c>
    </row>
    <row r="296" spans="1:9" s="132" customFormat="1" x14ac:dyDescent="0.2">
      <c r="A296" s="155"/>
      <c r="B296" s="195"/>
      <c r="C296" s="196" t="s">
        <v>127</v>
      </c>
      <c r="D296" s="208">
        <f>COUNTIF(292:292,"Long Put")</f>
        <v>0</v>
      </c>
      <c r="E296" s="208"/>
      <c r="F296" s="163" t="s">
        <v>8</v>
      </c>
      <c r="G296" s="164" t="s">
        <v>3</v>
      </c>
      <c r="H296" s="249">
        <v>2E-3</v>
      </c>
      <c r="I296" s="222">
        <v>2E-3</v>
      </c>
    </row>
    <row r="297" spans="1:9" s="132" customFormat="1" x14ac:dyDescent="0.2">
      <c r="A297" s="155"/>
      <c r="B297" s="195"/>
      <c r="C297" s="196" t="s">
        <v>128</v>
      </c>
      <c r="D297" s="208">
        <f>COUNTIF(292:292,"Short Put")</f>
        <v>1</v>
      </c>
      <c r="E297" s="208"/>
      <c r="F297" s="163" t="s">
        <v>9</v>
      </c>
      <c r="G297" s="166" t="s">
        <v>4</v>
      </c>
      <c r="H297" s="250">
        <v>0</v>
      </c>
      <c r="I297" s="222">
        <v>0</v>
      </c>
    </row>
    <row r="298" spans="1:9" s="132" customFormat="1" ht="17" thickBot="1" x14ac:dyDescent="0.25">
      <c r="A298" s="155"/>
      <c r="B298" s="195"/>
      <c r="C298" s="196" t="s">
        <v>129</v>
      </c>
      <c r="D298" s="208">
        <f>COUNTIF(292:292,"Long Asset")</f>
        <v>0</v>
      </c>
      <c r="E298" s="208"/>
      <c r="F298" s="168" t="s">
        <v>10</v>
      </c>
      <c r="G298" s="194" t="s">
        <v>5</v>
      </c>
      <c r="H298" s="254">
        <v>7.0000000000000007E-2</v>
      </c>
      <c r="I298" s="223">
        <v>7.0000000000000007E-2</v>
      </c>
    </row>
    <row r="299" spans="1:9" s="132" customFormat="1" ht="17" thickBot="1" x14ac:dyDescent="0.25">
      <c r="A299" s="155"/>
      <c r="B299" s="195"/>
      <c r="C299" s="196" t="s">
        <v>130</v>
      </c>
      <c r="D299" s="208">
        <f>COUNTIF(292:292,"Short Asset")</f>
        <v>0</v>
      </c>
      <c r="E299" s="208"/>
      <c r="F299" s="171"/>
      <c r="G299" s="172"/>
      <c r="H299" s="257" t="s">
        <v>40</v>
      </c>
      <c r="I299" s="173" t="s">
        <v>40</v>
      </c>
    </row>
    <row r="300" spans="1:9" s="132" customFormat="1" ht="20" thickBot="1" x14ac:dyDescent="0.3">
      <c r="A300" s="155"/>
      <c r="B300" s="195"/>
      <c r="C300" s="196" t="s">
        <v>152</v>
      </c>
      <c r="D300" s="208">
        <f>COUNTIF(292:292,"Long Futures")</f>
        <v>0</v>
      </c>
      <c r="E300" s="208"/>
      <c r="F300" s="558" t="s">
        <v>66</v>
      </c>
      <c r="G300" s="559"/>
      <c r="H300" s="241" t="s">
        <v>40</v>
      </c>
      <c r="I300" s="173" t="s">
        <v>40</v>
      </c>
    </row>
    <row r="301" spans="1:9" s="132" customFormat="1" ht="17" thickBot="1" x14ac:dyDescent="0.25">
      <c r="A301" s="155"/>
      <c r="B301" s="195"/>
      <c r="C301" s="196" t="s">
        <v>153</v>
      </c>
      <c r="D301" s="208">
        <f>COUNTIF(292:292,"Short Futures")</f>
        <v>0</v>
      </c>
      <c r="E301" s="216"/>
      <c r="F301" s="157" t="s">
        <v>6</v>
      </c>
      <c r="G301" s="175" t="s">
        <v>2</v>
      </c>
      <c r="H301" s="245">
        <v>26</v>
      </c>
      <c r="I301" s="218">
        <v>24</v>
      </c>
    </row>
    <row r="302" spans="1:9" s="132" customFormat="1" ht="17" thickBot="1" x14ac:dyDescent="0.25">
      <c r="A302" s="155"/>
      <c r="B302" s="195"/>
      <c r="C302" s="196"/>
      <c r="D302" s="208"/>
      <c r="E302" s="208"/>
      <c r="F302" s="163" t="s">
        <v>11</v>
      </c>
      <c r="G302" s="166" t="s">
        <v>12</v>
      </c>
      <c r="H302" s="250">
        <v>8.2191781000000005E-2</v>
      </c>
      <c r="I302" s="222">
        <v>8.2191781000000005E-2</v>
      </c>
    </row>
    <row r="303" spans="1:9" s="132" customFormat="1" ht="17" thickBot="1" x14ac:dyDescent="0.25">
      <c r="A303" s="155"/>
      <c r="B303" s="195"/>
      <c r="C303" s="196" t="s">
        <v>131</v>
      </c>
      <c r="D303" s="216">
        <f>COUNTA(292:292)</f>
        <v>2</v>
      </c>
      <c r="E303" s="208"/>
      <c r="F303" s="168" t="s">
        <v>78</v>
      </c>
      <c r="G303" s="194" t="s">
        <v>70</v>
      </c>
      <c r="H303" s="259">
        <v>5.0117815202755543E-3</v>
      </c>
      <c r="I303" s="224">
        <v>3.7230048754874289E-3</v>
      </c>
    </row>
    <row r="304" spans="1:9" s="132" customFormat="1" ht="17" thickBot="1" x14ac:dyDescent="0.25">
      <c r="A304" s="155"/>
      <c r="B304" s="195"/>
      <c r="C304" s="196"/>
      <c r="D304" s="208"/>
      <c r="E304" s="208"/>
    </row>
    <row r="305" spans="1:9" s="132" customFormat="1" ht="17" thickBot="1" x14ac:dyDescent="0.25">
      <c r="A305" s="155"/>
      <c r="B305" s="195">
        <v>22</v>
      </c>
      <c r="C305" s="203"/>
      <c r="D305" s="204"/>
      <c r="E305" s="204" t="s">
        <v>104</v>
      </c>
      <c r="F305" s="523" t="s">
        <v>155</v>
      </c>
      <c r="G305" s="524"/>
      <c r="H305" s="277">
        <v>1</v>
      </c>
      <c r="I305" s="277">
        <v>1</v>
      </c>
    </row>
    <row r="306" spans="1:9" s="132" customFormat="1" ht="20" thickBot="1" x14ac:dyDescent="0.3">
      <c r="A306" s="155"/>
      <c r="B306" s="195"/>
      <c r="C306" s="203"/>
      <c r="D306" s="206"/>
      <c r="E306" s="206"/>
      <c r="F306" s="225"/>
      <c r="G306" s="145"/>
      <c r="H306" s="146" t="s">
        <v>60</v>
      </c>
      <c r="I306" s="146" t="s">
        <v>61</v>
      </c>
    </row>
    <row r="307" spans="1:9" s="132" customFormat="1" ht="17" thickBot="1" x14ac:dyDescent="0.25">
      <c r="A307" s="155"/>
      <c r="B307" s="195"/>
      <c r="C307" s="196"/>
      <c r="D307" s="208"/>
      <c r="E307" s="208"/>
      <c r="F307" s="148"/>
      <c r="G307" s="148"/>
      <c r="H307" s="149" t="s">
        <v>71</v>
      </c>
      <c r="I307" s="149" t="s">
        <v>72</v>
      </c>
    </row>
    <row r="308" spans="1:9" s="132" customFormat="1" ht="20" thickBot="1" x14ac:dyDescent="0.3">
      <c r="A308" s="155"/>
      <c r="B308" s="195"/>
      <c r="C308" s="196" t="s">
        <v>125</v>
      </c>
      <c r="D308" s="208">
        <f>COUNTIF(306:306,"Long Call")</f>
        <v>1</v>
      </c>
      <c r="E308" s="208"/>
      <c r="F308" s="556" t="s">
        <v>65</v>
      </c>
      <c r="G308" s="557"/>
      <c r="H308" s="152" t="s">
        <v>40</v>
      </c>
      <c r="I308" s="153" t="s">
        <v>40</v>
      </c>
    </row>
    <row r="309" spans="1:9" s="132" customFormat="1" x14ac:dyDescent="0.2">
      <c r="A309" s="155"/>
      <c r="B309" s="195"/>
      <c r="C309" s="196" t="s">
        <v>126</v>
      </c>
      <c r="D309" s="208">
        <f>COUNTIF(306:306,"Short Call")</f>
        <v>0</v>
      </c>
      <c r="E309" s="208"/>
      <c r="F309" s="157" t="s">
        <v>7</v>
      </c>
      <c r="G309" s="158" t="s">
        <v>1</v>
      </c>
      <c r="H309" s="245">
        <v>25</v>
      </c>
      <c r="I309" s="221">
        <v>25</v>
      </c>
    </row>
    <row r="310" spans="1:9" s="132" customFormat="1" x14ac:dyDescent="0.2">
      <c r="A310" s="155"/>
      <c r="B310" s="195"/>
      <c r="C310" s="196" t="s">
        <v>127</v>
      </c>
      <c r="D310" s="208">
        <f>COUNTIF(306:306,"Long Put")</f>
        <v>1</v>
      </c>
      <c r="E310" s="208"/>
      <c r="F310" s="163" t="s">
        <v>8</v>
      </c>
      <c r="G310" s="164" t="s">
        <v>3</v>
      </c>
      <c r="H310" s="249">
        <v>2E-3</v>
      </c>
      <c r="I310" s="222">
        <v>2E-3</v>
      </c>
    </row>
    <row r="311" spans="1:9" s="132" customFormat="1" x14ac:dyDescent="0.2">
      <c r="A311" s="155"/>
      <c r="B311" s="195"/>
      <c r="C311" s="196" t="s">
        <v>128</v>
      </c>
      <c r="D311" s="208">
        <f>COUNTIF(306:306,"Short Put")</f>
        <v>0</v>
      </c>
      <c r="E311" s="208"/>
      <c r="F311" s="163" t="s">
        <v>9</v>
      </c>
      <c r="G311" s="166" t="s">
        <v>4</v>
      </c>
      <c r="H311" s="250">
        <v>0</v>
      </c>
      <c r="I311" s="222">
        <v>0</v>
      </c>
    </row>
    <row r="312" spans="1:9" s="132" customFormat="1" ht="17" thickBot="1" x14ac:dyDescent="0.25">
      <c r="A312" s="155"/>
      <c r="B312" s="195"/>
      <c r="C312" s="196" t="s">
        <v>129</v>
      </c>
      <c r="D312" s="208">
        <f>COUNTIF(306:306,"Long Asset")</f>
        <v>0</v>
      </c>
      <c r="E312" s="208"/>
      <c r="F312" s="168" t="s">
        <v>10</v>
      </c>
      <c r="G312" s="194" t="s">
        <v>5</v>
      </c>
      <c r="H312" s="254">
        <v>7.0000000000000007E-2</v>
      </c>
      <c r="I312" s="223">
        <v>7.0000000000000007E-2</v>
      </c>
    </row>
    <row r="313" spans="1:9" s="132" customFormat="1" ht="17" thickBot="1" x14ac:dyDescent="0.25">
      <c r="A313" s="155"/>
      <c r="B313" s="195"/>
      <c r="C313" s="196" t="s">
        <v>130</v>
      </c>
      <c r="D313" s="208">
        <f>COUNTIF(306:306,"Short Asset")</f>
        <v>0</v>
      </c>
      <c r="E313" s="208"/>
      <c r="F313" s="171"/>
      <c r="G313" s="172"/>
      <c r="H313" s="257" t="s">
        <v>40</v>
      </c>
      <c r="I313" s="173" t="s">
        <v>40</v>
      </c>
    </row>
    <row r="314" spans="1:9" s="132" customFormat="1" ht="20" thickBot="1" x14ac:dyDescent="0.3">
      <c r="A314" s="155"/>
      <c r="B314" s="195"/>
      <c r="C314" s="196" t="s">
        <v>152</v>
      </c>
      <c r="D314" s="208">
        <f>COUNTIF(306:306,"Long Futures")</f>
        <v>0</v>
      </c>
      <c r="E314" s="208"/>
      <c r="F314" s="558" t="s">
        <v>66</v>
      </c>
      <c r="G314" s="559"/>
      <c r="H314" s="241" t="s">
        <v>40</v>
      </c>
      <c r="I314" s="173" t="s">
        <v>40</v>
      </c>
    </row>
    <row r="315" spans="1:9" s="132" customFormat="1" ht="17" thickBot="1" x14ac:dyDescent="0.25">
      <c r="A315" s="155"/>
      <c r="B315" s="195"/>
      <c r="C315" s="196" t="s">
        <v>153</v>
      </c>
      <c r="D315" s="208">
        <f>COUNTIF(306:306,"Short Futures")</f>
        <v>0</v>
      </c>
      <c r="E315" s="216"/>
      <c r="F315" s="157" t="s">
        <v>6</v>
      </c>
      <c r="G315" s="175" t="s">
        <v>2</v>
      </c>
      <c r="H315" s="245">
        <v>24</v>
      </c>
      <c r="I315" s="218">
        <v>26</v>
      </c>
    </row>
    <row r="316" spans="1:9" s="132" customFormat="1" ht="17" thickBot="1" x14ac:dyDescent="0.25">
      <c r="A316" s="155"/>
      <c r="B316" s="195"/>
      <c r="C316" s="196"/>
      <c r="D316" s="208"/>
      <c r="E316" s="208"/>
      <c r="F316" s="163" t="s">
        <v>11</v>
      </c>
      <c r="G316" s="166" t="s">
        <v>12</v>
      </c>
      <c r="H316" s="250">
        <v>8.2191781000000005E-2</v>
      </c>
      <c r="I316" s="222">
        <v>8.2191781000000005E-2</v>
      </c>
    </row>
    <row r="317" spans="1:9" s="132" customFormat="1" ht="17" thickBot="1" x14ac:dyDescent="0.25">
      <c r="A317" s="155"/>
      <c r="B317" s="195"/>
      <c r="C317" s="196" t="s">
        <v>131</v>
      </c>
      <c r="D317" s="216">
        <f>COUNTA(306:306)</f>
        <v>2</v>
      </c>
      <c r="E317" s="208"/>
      <c r="F317" s="168" t="s">
        <v>78</v>
      </c>
      <c r="G317" s="194" t="s">
        <v>70</v>
      </c>
      <c r="H317" s="259">
        <v>1.007667886117789</v>
      </c>
      <c r="I317" s="224">
        <v>1.0007381601744467</v>
      </c>
    </row>
    <row r="318" spans="1:9" s="132" customFormat="1" ht="17" thickBot="1" x14ac:dyDescent="0.25">
      <c r="A318" s="155"/>
      <c r="B318" s="195"/>
      <c r="C318" s="196"/>
      <c r="D318" s="208"/>
      <c r="E318" s="208"/>
    </row>
    <row r="319" spans="1:9" s="132" customFormat="1" ht="17" thickBot="1" x14ac:dyDescent="0.25">
      <c r="A319" s="155"/>
      <c r="B319" s="195">
        <v>23</v>
      </c>
      <c r="C319" s="203"/>
      <c r="D319" s="204"/>
      <c r="E319" s="204" t="s">
        <v>105</v>
      </c>
      <c r="F319" s="523" t="s">
        <v>155</v>
      </c>
      <c r="G319" s="524"/>
      <c r="H319" s="277">
        <v>1</v>
      </c>
      <c r="I319" s="277">
        <v>1</v>
      </c>
    </row>
    <row r="320" spans="1:9" s="132" customFormat="1" ht="20" thickBot="1" x14ac:dyDescent="0.3">
      <c r="A320" s="155"/>
      <c r="B320" s="195"/>
      <c r="C320" s="203"/>
      <c r="D320" s="206"/>
      <c r="E320" s="206"/>
      <c r="F320" s="225"/>
      <c r="G320" s="260"/>
      <c r="H320" s="261" t="s">
        <v>62</v>
      </c>
      <c r="I320" s="262" t="s">
        <v>63</v>
      </c>
    </row>
    <row r="321" spans="1:9" s="132" customFormat="1" ht="17" thickBot="1" x14ac:dyDescent="0.25">
      <c r="A321" s="155"/>
      <c r="B321" s="195"/>
      <c r="C321" s="196"/>
      <c r="D321" s="208"/>
      <c r="E321" s="208"/>
      <c r="F321" s="239"/>
      <c r="G321" s="239"/>
      <c r="H321" s="240" t="s">
        <v>75</v>
      </c>
      <c r="I321" s="240" t="s">
        <v>73</v>
      </c>
    </row>
    <row r="322" spans="1:9" s="132" customFormat="1" ht="20" thickBot="1" x14ac:dyDescent="0.3">
      <c r="A322" s="155"/>
      <c r="B322" s="195"/>
      <c r="C322" s="196" t="s">
        <v>125</v>
      </c>
      <c r="D322" s="208">
        <f>COUNTIF(320:320,"Long Call")</f>
        <v>0</v>
      </c>
      <c r="E322" s="208"/>
      <c r="F322" s="560" t="s">
        <v>65</v>
      </c>
      <c r="G322" s="561"/>
      <c r="H322" s="241" t="s">
        <v>40</v>
      </c>
      <c r="I322" s="242" t="s">
        <v>40</v>
      </c>
    </row>
    <row r="323" spans="1:9" s="132" customFormat="1" x14ac:dyDescent="0.2">
      <c r="A323" s="155"/>
      <c r="B323" s="195"/>
      <c r="C323" s="196" t="s">
        <v>126</v>
      </c>
      <c r="D323" s="208">
        <f>COUNTIF(320:320,"Short Call")</f>
        <v>1</v>
      </c>
      <c r="E323" s="208"/>
      <c r="F323" s="243" t="s">
        <v>7</v>
      </c>
      <c r="G323" s="244" t="s">
        <v>1</v>
      </c>
      <c r="H323" s="245">
        <v>25</v>
      </c>
      <c r="I323" s="246">
        <v>25</v>
      </c>
    </row>
    <row r="324" spans="1:9" s="132" customFormat="1" x14ac:dyDescent="0.2">
      <c r="A324" s="155"/>
      <c r="B324" s="195"/>
      <c r="C324" s="196" t="s">
        <v>127</v>
      </c>
      <c r="D324" s="208">
        <f>COUNTIF(320:320,"Long Put")</f>
        <v>0</v>
      </c>
      <c r="E324" s="208"/>
      <c r="F324" s="247" t="s">
        <v>8</v>
      </c>
      <c r="G324" s="248" t="s">
        <v>3</v>
      </c>
      <c r="H324" s="249">
        <v>2E-3</v>
      </c>
      <c r="I324" s="250">
        <v>2E-3</v>
      </c>
    </row>
    <row r="325" spans="1:9" s="132" customFormat="1" x14ac:dyDescent="0.2">
      <c r="A325" s="155"/>
      <c r="B325" s="195"/>
      <c r="C325" s="196" t="s">
        <v>128</v>
      </c>
      <c r="D325" s="208">
        <f>COUNTIF(320:320,"Short Put")</f>
        <v>1</v>
      </c>
      <c r="E325" s="208"/>
      <c r="F325" s="247" t="s">
        <v>9</v>
      </c>
      <c r="G325" s="251" t="s">
        <v>4</v>
      </c>
      <c r="H325" s="250">
        <v>0</v>
      </c>
      <c r="I325" s="250">
        <v>0</v>
      </c>
    </row>
    <row r="326" spans="1:9" s="132" customFormat="1" ht="17" thickBot="1" x14ac:dyDescent="0.25">
      <c r="A326" s="155"/>
      <c r="B326" s="195"/>
      <c r="C326" s="196" t="s">
        <v>129</v>
      </c>
      <c r="D326" s="208">
        <f>COUNTIF(320:320,"Long Asset")</f>
        <v>0</v>
      </c>
      <c r="E326" s="208"/>
      <c r="F326" s="252" t="s">
        <v>10</v>
      </c>
      <c r="G326" s="253" t="s">
        <v>5</v>
      </c>
      <c r="H326" s="254">
        <v>7.0000000000000007E-2</v>
      </c>
      <c r="I326" s="254">
        <v>7.0000000000000007E-2</v>
      </c>
    </row>
    <row r="327" spans="1:9" s="132" customFormat="1" ht="17" thickBot="1" x14ac:dyDescent="0.25">
      <c r="A327" s="155"/>
      <c r="B327" s="195"/>
      <c r="C327" s="196" t="s">
        <v>130</v>
      </c>
      <c r="D327" s="208">
        <f>COUNTIF(320:320,"Short Asset")</f>
        <v>0</v>
      </c>
      <c r="E327" s="208"/>
      <c r="F327" s="255"/>
      <c r="G327" s="256"/>
      <c r="H327" s="257" t="s">
        <v>40</v>
      </c>
      <c r="I327" s="257" t="s">
        <v>40</v>
      </c>
    </row>
    <row r="328" spans="1:9" s="132" customFormat="1" ht="20" thickBot="1" x14ac:dyDescent="0.3">
      <c r="A328" s="155"/>
      <c r="B328" s="195"/>
      <c r="C328" s="196" t="s">
        <v>152</v>
      </c>
      <c r="D328" s="208">
        <f>COUNTIF(320:320,"Long Futures")</f>
        <v>0</v>
      </c>
      <c r="E328" s="208"/>
      <c r="F328" s="560" t="s">
        <v>66</v>
      </c>
      <c r="G328" s="561"/>
      <c r="H328" s="241" t="s">
        <v>40</v>
      </c>
      <c r="I328" s="257" t="s">
        <v>40</v>
      </c>
    </row>
    <row r="329" spans="1:9" s="132" customFormat="1" ht="17" thickBot="1" x14ac:dyDescent="0.25">
      <c r="A329" s="155"/>
      <c r="B329" s="195"/>
      <c r="C329" s="196" t="s">
        <v>153</v>
      </c>
      <c r="D329" s="208">
        <f>COUNTIF(320:320,"Short Futures")</f>
        <v>0</v>
      </c>
      <c r="E329" s="216"/>
      <c r="F329" s="243" t="s">
        <v>6</v>
      </c>
      <c r="G329" s="258" t="s">
        <v>2</v>
      </c>
      <c r="H329" s="245">
        <v>24</v>
      </c>
      <c r="I329" s="245">
        <v>26</v>
      </c>
    </row>
    <row r="330" spans="1:9" s="132" customFormat="1" ht="17" thickBot="1" x14ac:dyDescent="0.25">
      <c r="A330" s="155"/>
      <c r="B330" s="195"/>
      <c r="C330" s="196"/>
      <c r="D330" s="208"/>
      <c r="E330" s="208"/>
      <c r="F330" s="247" t="s">
        <v>11</v>
      </c>
      <c r="G330" s="251" t="s">
        <v>12</v>
      </c>
      <c r="H330" s="250">
        <v>8.2191781000000005E-2</v>
      </c>
      <c r="I330" s="250">
        <v>8.2191780000000006E-2</v>
      </c>
    </row>
    <row r="331" spans="1:9" s="132" customFormat="1" ht="17" thickBot="1" x14ac:dyDescent="0.25">
      <c r="A331" s="155"/>
      <c r="B331" s="195"/>
      <c r="C331" s="196" t="s">
        <v>131</v>
      </c>
      <c r="D331" s="216">
        <f>COUNTA(320:320)</f>
        <v>2</v>
      </c>
      <c r="E331" s="208"/>
      <c r="F331" s="252" t="s">
        <v>78</v>
      </c>
      <c r="G331" s="253" t="s">
        <v>70</v>
      </c>
      <c r="H331" s="259">
        <v>1.0076678859999999</v>
      </c>
      <c r="I331" s="259">
        <v>1.00073816</v>
      </c>
    </row>
    <row r="332" spans="1:9" s="132" customFormat="1" ht="17" thickBot="1" x14ac:dyDescent="0.25">
      <c r="A332" s="155"/>
      <c r="B332" s="195"/>
      <c r="C332" s="196"/>
      <c r="D332" s="208"/>
      <c r="E332" s="208"/>
    </row>
    <row r="333" spans="1:9" s="132" customFormat="1" ht="17" thickBot="1" x14ac:dyDescent="0.25">
      <c r="A333" s="155"/>
      <c r="B333" s="195">
        <v>24</v>
      </c>
      <c r="C333" s="203"/>
      <c r="D333" s="204"/>
      <c r="E333" s="204" t="s">
        <v>106</v>
      </c>
      <c r="F333" s="523" t="s">
        <v>155</v>
      </c>
      <c r="G333" s="524"/>
      <c r="H333" s="277">
        <v>1</v>
      </c>
      <c r="I333" s="277">
        <v>1</v>
      </c>
    </row>
    <row r="334" spans="1:9" s="132" customFormat="1" ht="20" thickBot="1" x14ac:dyDescent="0.3">
      <c r="A334" s="155"/>
      <c r="B334" s="195"/>
      <c r="C334" s="203"/>
      <c r="D334" s="206"/>
      <c r="E334" s="206"/>
      <c r="F334" s="225"/>
      <c r="G334" s="145"/>
      <c r="H334" s="146" t="s">
        <v>60</v>
      </c>
      <c r="I334" s="146" t="s">
        <v>62</v>
      </c>
    </row>
    <row r="335" spans="1:9" s="132" customFormat="1" ht="17" thickBot="1" x14ac:dyDescent="0.25">
      <c r="A335" s="155"/>
      <c r="B335" s="195"/>
      <c r="C335" s="196"/>
      <c r="D335" s="208"/>
      <c r="E335" s="208"/>
      <c r="F335" s="148"/>
      <c r="G335" s="148"/>
      <c r="H335" s="149" t="s">
        <v>71</v>
      </c>
      <c r="I335" s="149" t="s">
        <v>75</v>
      </c>
    </row>
    <row r="336" spans="1:9" s="132" customFormat="1" ht="20" thickBot="1" x14ac:dyDescent="0.3">
      <c r="A336" s="155"/>
      <c r="B336" s="195"/>
      <c r="C336" s="196" t="s">
        <v>125</v>
      </c>
      <c r="D336" s="208">
        <f>COUNTIF(334:334,"Long Call")</f>
        <v>1</v>
      </c>
      <c r="E336" s="208"/>
      <c r="F336" s="556" t="s">
        <v>65</v>
      </c>
      <c r="G336" s="557"/>
      <c r="H336" s="152" t="s">
        <v>40</v>
      </c>
      <c r="I336" s="153" t="s">
        <v>40</v>
      </c>
    </row>
    <row r="337" spans="1:9" s="132" customFormat="1" x14ac:dyDescent="0.2">
      <c r="A337" s="155"/>
      <c r="B337" s="195"/>
      <c r="C337" s="196" t="s">
        <v>126</v>
      </c>
      <c r="D337" s="208">
        <f>COUNTIF(334:334,"Short Call")</f>
        <v>1</v>
      </c>
      <c r="E337" s="208"/>
      <c r="F337" s="157" t="s">
        <v>7</v>
      </c>
      <c r="G337" s="158" t="s">
        <v>1</v>
      </c>
      <c r="H337" s="245">
        <v>25</v>
      </c>
      <c r="I337" s="221">
        <v>25</v>
      </c>
    </row>
    <row r="338" spans="1:9" s="132" customFormat="1" x14ac:dyDescent="0.2">
      <c r="A338" s="155"/>
      <c r="B338" s="195"/>
      <c r="C338" s="196" t="s">
        <v>127</v>
      </c>
      <c r="D338" s="208">
        <f>COUNTIF(334:334,"Long Put")</f>
        <v>0</v>
      </c>
      <c r="E338" s="208"/>
      <c r="F338" s="163" t="s">
        <v>8</v>
      </c>
      <c r="G338" s="164" t="s">
        <v>3</v>
      </c>
      <c r="H338" s="249">
        <v>2E-3</v>
      </c>
      <c r="I338" s="222">
        <v>2E-3</v>
      </c>
    </row>
    <row r="339" spans="1:9" s="132" customFormat="1" x14ac:dyDescent="0.2">
      <c r="A339" s="155"/>
      <c r="B339" s="195"/>
      <c r="C339" s="196" t="s">
        <v>128</v>
      </c>
      <c r="D339" s="208">
        <f>COUNTIF(334:334,"Short Put")</f>
        <v>0</v>
      </c>
      <c r="E339" s="208"/>
      <c r="F339" s="163" t="s">
        <v>9</v>
      </c>
      <c r="G339" s="166" t="s">
        <v>4</v>
      </c>
      <c r="H339" s="250">
        <v>0</v>
      </c>
      <c r="I339" s="222">
        <v>0</v>
      </c>
    </row>
    <row r="340" spans="1:9" s="132" customFormat="1" ht="17" thickBot="1" x14ac:dyDescent="0.25">
      <c r="A340" s="155"/>
      <c r="B340" s="195"/>
      <c r="C340" s="196" t="s">
        <v>129</v>
      </c>
      <c r="D340" s="208">
        <f>COUNTIF(334:334,"Long Asset")</f>
        <v>0</v>
      </c>
      <c r="E340" s="208"/>
      <c r="F340" s="168" t="s">
        <v>10</v>
      </c>
      <c r="G340" s="194" t="s">
        <v>5</v>
      </c>
      <c r="H340" s="254">
        <v>7.0000000000000007E-2</v>
      </c>
      <c r="I340" s="223">
        <v>7.0000000000000007E-2</v>
      </c>
    </row>
    <row r="341" spans="1:9" s="132" customFormat="1" ht="17" thickBot="1" x14ac:dyDescent="0.25">
      <c r="A341" s="155"/>
      <c r="B341" s="195"/>
      <c r="C341" s="196" t="s">
        <v>130</v>
      </c>
      <c r="D341" s="208">
        <f>COUNTIF(334:334,"Short Asset")</f>
        <v>0</v>
      </c>
      <c r="E341" s="208"/>
      <c r="F341" s="171"/>
      <c r="G341" s="172"/>
      <c r="H341" s="257" t="s">
        <v>40</v>
      </c>
      <c r="I341" s="173" t="s">
        <v>40</v>
      </c>
    </row>
    <row r="342" spans="1:9" s="132" customFormat="1" ht="20" thickBot="1" x14ac:dyDescent="0.3">
      <c r="A342" s="155"/>
      <c r="B342" s="195"/>
      <c r="C342" s="196" t="s">
        <v>152</v>
      </c>
      <c r="D342" s="208">
        <f>COUNTIF(334:334,"Long Futures")</f>
        <v>0</v>
      </c>
      <c r="E342" s="208"/>
      <c r="F342" s="558" t="s">
        <v>66</v>
      </c>
      <c r="G342" s="559"/>
      <c r="H342" s="241" t="s">
        <v>40</v>
      </c>
      <c r="I342" s="173" t="s">
        <v>40</v>
      </c>
    </row>
    <row r="343" spans="1:9" s="132" customFormat="1" ht="17" thickBot="1" x14ac:dyDescent="0.25">
      <c r="A343" s="155"/>
      <c r="B343" s="195"/>
      <c r="C343" s="196" t="s">
        <v>153</v>
      </c>
      <c r="D343" s="208">
        <f>COUNTIF(334:334,"Short Futures")</f>
        <v>0</v>
      </c>
      <c r="E343" s="216"/>
      <c r="F343" s="157" t="s">
        <v>6</v>
      </c>
      <c r="G343" s="175" t="s">
        <v>2</v>
      </c>
      <c r="H343" s="245">
        <v>25</v>
      </c>
      <c r="I343" s="218">
        <v>25</v>
      </c>
    </row>
    <row r="344" spans="1:9" s="132" customFormat="1" ht="17" thickBot="1" x14ac:dyDescent="0.25">
      <c r="A344" s="155"/>
      <c r="B344" s="195"/>
      <c r="C344" s="196"/>
      <c r="D344" s="208"/>
      <c r="E344" s="208"/>
      <c r="F344" s="163" t="s">
        <v>11</v>
      </c>
      <c r="G344" s="166" t="s">
        <v>12</v>
      </c>
      <c r="H344" s="250">
        <f>2/12</f>
        <v>0.16666666666666666</v>
      </c>
      <c r="I344" s="222">
        <f>1/12</f>
        <v>8.3333333333333329E-2</v>
      </c>
    </row>
    <row r="345" spans="1:9" s="132" customFormat="1" ht="17" thickBot="1" x14ac:dyDescent="0.25">
      <c r="A345" s="155"/>
      <c r="B345" s="195"/>
      <c r="C345" s="196" t="s">
        <v>131</v>
      </c>
      <c r="D345" s="216">
        <f>COUNTA(334:334)</f>
        <v>2</v>
      </c>
      <c r="E345" s="208"/>
      <c r="F345" s="168" t="s">
        <v>78</v>
      </c>
      <c r="G345" s="194" t="s">
        <v>70</v>
      </c>
      <c r="H345" s="259">
        <v>0.2891462960752561</v>
      </c>
      <c r="I345" s="224">
        <v>0.20360804560662848</v>
      </c>
    </row>
    <row r="346" spans="1:9" s="132" customFormat="1" ht="17" thickBot="1" x14ac:dyDescent="0.25">
      <c r="A346" s="155"/>
      <c r="B346" s="195"/>
      <c r="C346" s="196"/>
      <c r="D346" s="208"/>
      <c r="E346" s="208"/>
    </row>
    <row r="347" spans="1:9" s="132" customFormat="1" ht="17" thickBot="1" x14ac:dyDescent="0.25">
      <c r="A347" s="155"/>
      <c r="B347" s="195">
        <v>25</v>
      </c>
      <c r="C347" s="203"/>
      <c r="D347" s="204"/>
      <c r="E347" s="204" t="s">
        <v>107</v>
      </c>
      <c r="F347" s="523" t="s">
        <v>155</v>
      </c>
      <c r="G347" s="524"/>
      <c r="H347" s="277">
        <v>1</v>
      </c>
      <c r="I347" s="277">
        <v>1</v>
      </c>
    </row>
    <row r="348" spans="1:9" s="132" customFormat="1" ht="20" thickBot="1" x14ac:dyDescent="0.3">
      <c r="A348" s="155"/>
      <c r="B348" s="195"/>
      <c r="C348" s="203"/>
      <c r="D348" s="206"/>
      <c r="E348" s="206"/>
      <c r="F348" s="225"/>
      <c r="G348" s="145"/>
      <c r="H348" s="146" t="s">
        <v>61</v>
      </c>
      <c r="I348" s="146" t="s">
        <v>63</v>
      </c>
    </row>
    <row r="349" spans="1:9" s="132" customFormat="1" ht="17" thickBot="1" x14ac:dyDescent="0.25">
      <c r="A349" s="155"/>
      <c r="B349" s="195"/>
      <c r="C349" s="196"/>
      <c r="D349" s="208"/>
      <c r="E349" s="208"/>
      <c r="F349" s="148"/>
      <c r="G349" s="148"/>
      <c r="H349" s="149" t="s">
        <v>72</v>
      </c>
      <c r="I349" s="149" t="s">
        <v>73</v>
      </c>
    </row>
    <row r="350" spans="1:9" s="132" customFormat="1" ht="20" thickBot="1" x14ac:dyDescent="0.3">
      <c r="A350" s="155"/>
      <c r="B350" s="195"/>
      <c r="C350" s="196" t="s">
        <v>125</v>
      </c>
      <c r="D350" s="208">
        <f>COUNTIF(348:348,"Long Call")</f>
        <v>0</v>
      </c>
      <c r="E350" s="208"/>
      <c r="F350" s="556" t="s">
        <v>65</v>
      </c>
      <c r="G350" s="557"/>
      <c r="H350" s="152" t="s">
        <v>40</v>
      </c>
      <c r="I350" s="153" t="s">
        <v>40</v>
      </c>
    </row>
    <row r="351" spans="1:9" s="132" customFormat="1" x14ac:dyDescent="0.2">
      <c r="A351" s="155"/>
      <c r="B351" s="195"/>
      <c r="C351" s="196" t="s">
        <v>126</v>
      </c>
      <c r="D351" s="208">
        <f>COUNTIF(348:348,"Short Call")</f>
        <v>0</v>
      </c>
      <c r="E351" s="208"/>
      <c r="F351" s="157" t="s">
        <v>7</v>
      </c>
      <c r="G351" s="158" t="s">
        <v>1</v>
      </c>
      <c r="H351" s="245">
        <v>25</v>
      </c>
      <c r="I351" s="221">
        <v>25</v>
      </c>
    </row>
    <row r="352" spans="1:9" s="132" customFormat="1" x14ac:dyDescent="0.2">
      <c r="A352" s="155"/>
      <c r="B352" s="195"/>
      <c r="C352" s="196" t="s">
        <v>127</v>
      </c>
      <c r="D352" s="208">
        <f>COUNTIF(348:348,"Long Put")</f>
        <v>1</v>
      </c>
      <c r="E352" s="208"/>
      <c r="F352" s="163" t="s">
        <v>8</v>
      </c>
      <c r="G352" s="164" t="s">
        <v>3</v>
      </c>
      <c r="H352" s="249">
        <v>2E-3</v>
      </c>
      <c r="I352" s="222">
        <v>2E-3</v>
      </c>
    </row>
    <row r="353" spans="1:10" s="132" customFormat="1" x14ac:dyDescent="0.2">
      <c r="A353" s="155"/>
      <c r="B353" s="195"/>
      <c r="C353" s="196" t="s">
        <v>128</v>
      </c>
      <c r="D353" s="208">
        <f>COUNTIF(348:348,"Short Put")</f>
        <v>1</v>
      </c>
      <c r="E353" s="208"/>
      <c r="F353" s="163" t="s">
        <v>9</v>
      </c>
      <c r="G353" s="166" t="s">
        <v>4</v>
      </c>
      <c r="H353" s="250">
        <v>0</v>
      </c>
      <c r="I353" s="222">
        <v>0</v>
      </c>
    </row>
    <row r="354" spans="1:10" s="132" customFormat="1" ht="17" thickBot="1" x14ac:dyDescent="0.25">
      <c r="A354" s="155"/>
      <c r="B354" s="195"/>
      <c r="C354" s="196" t="s">
        <v>129</v>
      </c>
      <c r="D354" s="208">
        <f>COUNTIF(348:348,"Long Asset")</f>
        <v>0</v>
      </c>
      <c r="E354" s="208"/>
      <c r="F354" s="168" t="s">
        <v>10</v>
      </c>
      <c r="G354" s="194" t="s">
        <v>5</v>
      </c>
      <c r="H354" s="254">
        <v>7.0000000000000007E-2</v>
      </c>
      <c r="I354" s="223">
        <v>7.0000000000000007E-2</v>
      </c>
    </row>
    <row r="355" spans="1:10" s="132" customFormat="1" ht="17" thickBot="1" x14ac:dyDescent="0.25">
      <c r="A355" s="155"/>
      <c r="B355" s="195"/>
      <c r="C355" s="196" t="s">
        <v>130</v>
      </c>
      <c r="D355" s="208">
        <f>COUNTIF(348:348,"Short Asset")</f>
        <v>0</v>
      </c>
      <c r="E355" s="208"/>
      <c r="F355" s="171"/>
      <c r="G355" s="172"/>
      <c r="H355" s="257" t="s">
        <v>40</v>
      </c>
      <c r="I355" s="173" t="s">
        <v>40</v>
      </c>
    </row>
    <row r="356" spans="1:10" s="132" customFormat="1" ht="20" thickBot="1" x14ac:dyDescent="0.3">
      <c r="A356" s="155"/>
      <c r="B356" s="195"/>
      <c r="C356" s="196" t="s">
        <v>152</v>
      </c>
      <c r="D356" s="208">
        <f>COUNTIF(348:348,"Long Futures")</f>
        <v>0</v>
      </c>
      <c r="E356" s="208"/>
      <c r="F356" s="558" t="s">
        <v>66</v>
      </c>
      <c r="G356" s="559"/>
      <c r="H356" s="241" t="s">
        <v>40</v>
      </c>
      <c r="I356" s="173" t="s">
        <v>40</v>
      </c>
    </row>
    <row r="357" spans="1:10" s="132" customFormat="1" ht="17" thickBot="1" x14ac:dyDescent="0.25">
      <c r="A357" s="155"/>
      <c r="B357" s="195"/>
      <c r="C357" s="196" t="s">
        <v>153</v>
      </c>
      <c r="D357" s="208">
        <f>COUNTIF(348:348,"Short Futures")</f>
        <v>0</v>
      </c>
      <c r="E357" s="216"/>
      <c r="F357" s="157" t="s">
        <v>6</v>
      </c>
      <c r="G357" s="175" t="s">
        <v>2</v>
      </c>
      <c r="H357" s="245">
        <v>25</v>
      </c>
      <c r="I357" s="218">
        <v>25</v>
      </c>
    </row>
    <row r="358" spans="1:10" s="132" customFormat="1" ht="17" thickBot="1" x14ac:dyDescent="0.25">
      <c r="A358" s="155"/>
      <c r="B358" s="195"/>
      <c r="C358" s="196"/>
      <c r="D358" s="208"/>
      <c r="E358" s="208"/>
      <c r="F358" s="163" t="s">
        <v>11</v>
      </c>
      <c r="G358" s="166" t="s">
        <v>12</v>
      </c>
      <c r="H358" s="250">
        <f>2/12</f>
        <v>0.16666666666666666</v>
      </c>
      <c r="I358" s="222">
        <f>1/12</f>
        <v>8.3333333333333329E-2</v>
      </c>
    </row>
    <row r="359" spans="1:10" s="132" customFormat="1" ht="17" thickBot="1" x14ac:dyDescent="0.25">
      <c r="A359" s="155"/>
      <c r="B359" s="195"/>
      <c r="C359" s="196" t="s">
        <v>131</v>
      </c>
      <c r="D359" s="216">
        <f>COUNTA(348:348)</f>
        <v>2</v>
      </c>
      <c r="E359" s="208"/>
      <c r="F359" s="168" t="s">
        <v>78</v>
      </c>
      <c r="G359" s="194" t="s">
        <v>70</v>
      </c>
      <c r="H359" s="259">
        <v>0.28081435147650319</v>
      </c>
      <c r="I359" s="224">
        <v>0.19944172614289613</v>
      </c>
    </row>
    <row r="360" spans="1:10" s="132" customFormat="1" ht="17" thickBot="1" x14ac:dyDescent="0.25">
      <c r="A360" s="155"/>
      <c r="B360" s="195"/>
      <c r="C360" s="196"/>
      <c r="D360" s="208"/>
      <c r="E360" s="208"/>
    </row>
    <row r="361" spans="1:10" s="132" customFormat="1" ht="17" thickBot="1" x14ac:dyDescent="0.25">
      <c r="A361" s="155"/>
      <c r="B361" s="195">
        <v>26</v>
      </c>
      <c r="C361" s="203"/>
      <c r="D361" s="204"/>
      <c r="E361" s="204" t="s">
        <v>108</v>
      </c>
      <c r="F361" s="523" t="s">
        <v>155</v>
      </c>
      <c r="G361" s="524"/>
      <c r="H361" s="277">
        <v>1</v>
      </c>
      <c r="I361" s="277">
        <v>1</v>
      </c>
      <c r="J361" s="277">
        <v>1</v>
      </c>
    </row>
    <row r="362" spans="1:10" s="132" customFormat="1" ht="20" thickBot="1" x14ac:dyDescent="0.3">
      <c r="A362" s="155"/>
      <c r="B362" s="195"/>
      <c r="C362" s="203"/>
      <c r="D362" s="206"/>
      <c r="E362" s="206"/>
      <c r="F362" s="225"/>
      <c r="G362" s="145"/>
      <c r="H362" s="146" t="s">
        <v>60</v>
      </c>
      <c r="I362" s="146" t="s">
        <v>62</v>
      </c>
      <c r="J362" s="147" t="s">
        <v>62</v>
      </c>
    </row>
    <row r="363" spans="1:10" s="132" customFormat="1" ht="17" thickBot="1" x14ac:dyDescent="0.25">
      <c r="A363" s="155"/>
      <c r="B363" s="195"/>
      <c r="C363" s="196"/>
      <c r="D363" s="208"/>
      <c r="E363" s="208"/>
      <c r="F363" s="148"/>
      <c r="G363" s="148"/>
      <c r="H363" s="149" t="s">
        <v>71</v>
      </c>
      <c r="I363" s="149" t="s">
        <v>75</v>
      </c>
      <c r="J363" s="149" t="s">
        <v>122</v>
      </c>
    </row>
    <row r="364" spans="1:10" s="132" customFormat="1" ht="20" thickBot="1" x14ac:dyDescent="0.3">
      <c r="A364" s="155"/>
      <c r="B364" s="195"/>
      <c r="C364" s="196" t="s">
        <v>125</v>
      </c>
      <c r="D364" s="208">
        <f>COUNTIF(362:362,"Long Call")</f>
        <v>1</v>
      </c>
      <c r="E364" s="208"/>
      <c r="F364" s="556" t="s">
        <v>65</v>
      </c>
      <c r="G364" s="557"/>
      <c r="H364" s="152" t="s">
        <v>40</v>
      </c>
      <c r="I364" s="153" t="s">
        <v>40</v>
      </c>
      <c r="J364" s="153" t="s">
        <v>40</v>
      </c>
    </row>
    <row r="365" spans="1:10" s="132" customFormat="1" x14ac:dyDescent="0.2">
      <c r="A365" s="155"/>
      <c r="B365" s="195"/>
      <c r="C365" s="196" t="s">
        <v>126</v>
      </c>
      <c r="D365" s="208">
        <f>COUNTIF(362:362,"Short Call")</f>
        <v>2</v>
      </c>
      <c r="E365" s="208"/>
      <c r="F365" s="157" t="s">
        <v>7</v>
      </c>
      <c r="G365" s="158" t="s">
        <v>1</v>
      </c>
      <c r="H365" s="245">
        <v>30</v>
      </c>
      <c r="I365" s="221">
        <v>30</v>
      </c>
      <c r="J365" s="229">
        <v>30</v>
      </c>
    </row>
    <row r="366" spans="1:10" s="132" customFormat="1" x14ac:dyDescent="0.2">
      <c r="A366" s="155"/>
      <c r="B366" s="195"/>
      <c r="C366" s="196" t="s">
        <v>127</v>
      </c>
      <c r="D366" s="208">
        <f>COUNTIF(362:362,"Long Put")</f>
        <v>0</v>
      </c>
      <c r="E366" s="208"/>
      <c r="F366" s="163" t="s">
        <v>8</v>
      </c>
      <c r="G366" s="164" t="s">
        <v>3</v>
      </c>
      <c r="H366" s="249">
        <v>2E-3</v>
      </c>
      <c r="I366" s="222">
        <v>2E-3</v>
      </c>
      <c r="J366" s="230">
        <v>2E-3</v>
      </c>
    </row>
    <row r="367" spans="1:10" s="132" customFormat="1" x14ac:dyDescent="0.2">
      <c r="A367" s="155"/>
      <c r="B367" s="195"/>
      <c r="C367" s="196" t="s">
        <v>128</v>
      </c>
      <c r="D367" s="208">
        <f>COUNTIF(362:362,"Short Put")</f>
        <v>0</v>
      </c>
      <c r="E367" s="208"/>
      <c r="F367" s="163" t="s">
        <v>9</v>
      </c>
      <c r="G367" s="166" t="s">
        <v>4</v>
      </c>
      <c r="H367" s="250">
        <v>0</v>
      </c>
      <c r="I367" s="222">
        <v>0</v>
      </c>
      <c r="J367" s="230">
        <v>0</v>
      </c>
    </row>
    <row r="368" spans="1:10" s="132" customFormat="1" ht="17" thickBot="1" x14ac:dyDescent="0.25">
      <c r="A368" s="155"/>
      <c r="B368" s="195"/>
      <c r="C368" s="196" t="s">
        <v>129</v>
      </c>
      <c r="D368" s="208">
        <f>COUNTIF(362:362,"Long Asset")</f>
        <v>0</v>
      </c>
      <c r="E368" s="208"/>
      <c r="F368" s="168" t="s">
        <v>10</v>
      </c>
      <c r="G368" s="194" t="s">
        <v>5</v>
      </c>
      <c r="H368" s="254">
        <v>7.0000000000000007E-2</v>
      </c>
      <c r="I368" s="223">
        <v>7.0000000000000007E-2</v>
      </c>
      <c r="J368" s="231">
        <v>7.0000000000000007E-2</v>
      </c>
    </row>
    <row r="369" spans="1:10" s="132" customFormat="1" ht="17" thickBot="1" x14ac:dyDescent="0.25">
      <c r="A369" s="155"/>
      <c r="B369" s="195"/>
      <c r="C369" s="196" t="s">
        <v>130</v>
      </c>
      <c r="D369" s="208">
        <f>COUNTIF(362:362,"Short Asset")</f>
        <v>0</v>
      </c>
      <c r="E369" s="208"/>
      <c r="F369" s="171"/>
      <c r="G369" s="172"/>
      <c r="H369" s="257" t="s">
        <v>40</v>
      </c>
      <c r="I369" s="173" t="s">
        <v>40</v>
      </c>
      <c r="J369" s="122" t="s">
        <v>40</v>
      </c>
    </row>
    <row r="370" spans="1:10" s="132" customFormat="1" ht="20" thickBot="1" x14ac:dyDescent="0.3">
      <c r="A370" s="155"/>
      <c r="B370" s="195"/>
      <c r="C370" s="196" t="s">
        <v>152</v>
      </c>
      <c r="D370" s="208">
        <f>COUNTIF(362:362,"Long Futures")</f>
        <v>0</v>
      </c>
      <c r="E370" s="208"/>
      <c r="F370" s="558" t="s">
        <v>66</v>
      </c>
      <c r="G370" s="559"/>
      <c r="H370" s="241" t="s">
        <v>40</v>
      </c>
      <c r="I370" s="173" t="s">
        <v>40</v>
      </c>
      <c r="J370" s="122" t="s">
        <v>40</v>
      </c>
    </row>
    <row r="371" spans="1:10" s="132" customFormat="1" ht="17" thickBot="1" x14ac:dyDescent="0.25">
      <c r="A371" s="155"/>
      <c r="B371" s="195"/>
      <c r="C371" s="196" t="s">
        <v>153</v>
      </c>
      <c r="D371" s="208">
        <f>COUNTIF(362:362,"Short Futures")</f>
        <v>0</v>
      </c>
      <c r="E371" s="216"/>
      <c r="F371" s="157" t="s">
        <v>6</v>
      </c>
      <c r="G371" s="175" t="s">
        <v>2</v>
      </c>
      <c r="H371" s="245">
        <v>29</v>
      </c>
      <c r="I371" s="218">
        <v>31</v>
      </c>
      <c r="J371" s="218">
        <v>31</v>
      </c>
    </row>
    <row r="372" spans="1:10" s="132" customFormat="1" ht="17" thickBot="1" x14ac:dyDescent="0.25">
      <c r="A372" s="155"/>
      <c r="B372" s="195"/>
      <c r="C372" s="196"/>
      <c r="D372" s="208"/>
      <c r="E372" s="208"/>
      <c r="F372" s="163" t="s">
        <v>11</v>
      </c>
      <c r="G372" s="166" t="s">
        <v>12</v>
      </c>
      <c r="H372" s="222">
        <f>1/12</f>
        <v>8.3333333333333329E-2</v>
      </c>
      <c r="I372" s="222">
        <f>1/12</f>
        <v>8.3333333333333329E-2</v>
      </c>
      <c r="J372" s="222">
        <f>1/12</f>
        <v>8.3333333333333329E-2</v>
      </c>
    </row>
    <row r="373" spans="1:10" s="132" customFormat="1" ht="17" thickBot="1" x14ac:dyDescent="0.25">
      <c r="A373" s="155"/>
      <c r="B373" s="195"/>
      <c r="C373" s="196" t="s">
        <v>131</v>
      </c>
      <c r="D373" s="216">
        <f>COUNTA(362:362)</f>
        <v>3</v>
      </c>
      <c r="E373" s="208"/>
      <c r="F373" s="168" t="s">
        <v>78</v>
      </c>
      <c r="G373" s="194" t="s">
        <v>70</v>
      </c>
      <c r="H373" s="259">
        <v>1.0161106667539208</v>
      </c>
      <c r="I373" s="224">
        <v>1.3840771179380446E-2</v>
      </c>
      <c r="J373" s="224">
        <v>1.3840771179380446E-2</v>
      </c>
    </row>
    <row r="374" spans="1:10" s="132" customFormat="1" ht="17" thickBot="1" x14ac:dyDescent="0.25">
      <c r="A374" s="155"/>
      <c r="B374" s="195"/>
      <c r="C374" s="196"/>
      <c r="D374" s="208"/>
      <c r="E374" s="208"/>
    </row>
    <row r="375" spans="1:10" s="132" customFormat="1" ht="17" thickBot="1" x14ac:dyDescent="0.25">
      <c r="A375" s="155"/>
      <c r="B375" s="195">
        <v>27</v>
      </c>
      <c r="C375" s="203"/>
      <c r="D375" s="204"/>
      <c r="E375" s="204" t="s">
        <v>109</v>
      </c>
      <c r="F375" s="523" t="s">
        <v>155</v>
      </c>
      <c r="G375" s="524"/>
      <c r="H375" s="277">
        <v>1</v>
      </c>
      <c r="I375" s="277">
        <v>1</v>
      </c>
      <c r="J375" s="277">
        <v>1</v>
      </c>
    </row>
    <row r="376" spans="1:10" s="132" customFormat="1" ht="20" thickBot="1" x14ac:dyDescent="0.3">
      <c r="A376" s="155"/>
      <c r="B376" s="195"/>
      <c r="C376" s="203"/>
      <c r="D376" s="206"/>
      <c r="E376" s="206"/>
      <c r="F376" s="225"/>
      <c r="G376" s="145"/>
      <c r="H376" s="146" t="s">
        <v>61</v>
      </c>
      <c r="I376" s="146" t="s">
        <v>63</v>
      </c>
      <c r="J376" s="147" t="s">
        <v>63</v>
      </c>
    </row>
    <row r="377" spans="1:10" s="132" customFormat="1" ht="17" thickBot="1" x14ac:dyDescent="0.25">
      <c r="A377" s="155"/>
      <c r="B377" s="195"/>
      <c r="C377" s="196"/>
      <c r="D377" s="208"/>
      <c r="E377" s="208"/>
      <c r="F377" s="148"/>
      <c r="G377" s="148"/>
      <c r="H377" s="149" t="s">
        <v>72</v>
      </c>
      <c r="I377" s="149" t="s">
        <v>73</v>
      </c>
      <c r="J377" s="149" t="s">
        <v>123</v>
      </c>
    </row>
    <row r="378" spans="1:10" s="132" customFormat="1" ht="20" thickBot="1" x14ac:dyDescent="0.3">
      <c r="A378" s="155"/>
      <c r="B378" s="195"/>
      <c r="C378" s="196" t="s">
        <v>125</v>
      </c>
      <c r="D378" s="208">
        <f>COUNTIF(376:376,"Long Call")</f>
        <v>0</v>
      </c>
      <c r="E378" s="208"/>
      <c r="F378" s="556" t="s">
        <v>65</v>
      </c>
      <c r="G378" s="557"/>
      <c r="H378" s="152" t="s">
        <v>40</v>
      </c>
      <c r="I378" s="153" t="s">
        <v>40</v>
      </c>
      <c r="J378" s="153" t="s">
        <v>40</v>
      </c>
    </row>
    <row r="379" spans="1:10" s="132" customFormat="1" x14ac:dyDescent="0.2">
      <c r="A379" s="155"/>
      <c r="B379" s="195"/>
      <c r="C379" s="196" t="s">
        <v>126</v>
      </c>
      <c r="D379" s="208">
        <f>COUNTIF(376:376,"Short Call")</f>
        <v>0</v>
      </c>
      <c r="E379" s="208"/>
      <c r="F379" s="157" t="s">
        <v>7</v>
      </c>
      <c r="G379" s="158" t="s">
        <v>1</v>
      </c>
      <c r="H379" s="245">
        <v>30</v>
      </c>
      <c r="I379" s="221">
        <v>30</v>
      </c>
      <c r="J379" s="229">
        <v>30</v>
      </c>
    </row>
    <row r="380" spans="1:10" s="132" customFormat="1" x14ac:dyDescent="0.2">
      <c r="A380" s="155"/>
      <c r="B380" s="195"/>
      <c r="C380" s="196" t="s">
        <v>127</v>
      </c>
      <c r="D380" s="208">
        <f>COUNTIF(376:376,"Long Put")</f>
        <v>1</v>
      </c>
      <c r="E380" s="208"/>
      <c r="F380" s="163" t="s">
        <v>8</v>
      </c>
      <c r="G380" s="164" t="s">
        <v>3</v>
      </c>
      <c r="H380" s="249">
        <v>2E-3</v>
      </c>
      <c r="I380" s="222">
        <v>2E-3</v>
      </c>
      <c r="J380" s="230">
        <v>2E-3</v>
      </c>
    </row>
    <row r="381" spans="1:10" s="132" customFormat="1" x14ac:dyDescent="0.2">
      <c r="A381" s="155"/>
      <c r="B381" s="195"/>
      <c r="C381" s="196" t="s">
        <v>128</v>
      </c>
      <c r="D381" s="208">
        <f>COUNTIF(376:376,"Short Put")</f>
        <v>2</v>
      </c>
      <c r="E381" s="208"/>
      <c r="F381" s="163" t="s">
        <v>9</v>
      </c>
      <c r="G381" s="166" t="s">
        <v>4</v>
      </c>
      <c r="H381" s="250">
        <v>0</v>
      </c>
      <c r="I381" s="222">
        <v>0</v>
      </c>
      <c r="J381" s="230">
        <v>0</v>
      </c>
    </row>
    <row r="382" spans="1:10" s="132" customFormat="1" ht="17" thickBot="1" x14ac:dyDescent="0.25">
      <c r="A382" s="155"/>
      <c r="B382" s="195"/>
      <c r="C382" s="196" t="s">
        <v>129</v>
      </c>
      <c r="D382" s="208">
        <f>COUNTIF(376:376,"Long Asset")</f>
        <v>0</v>
      </c>
      <c r="E382" s="208"/>
      <c r="F382" s="168" t="s">
        <v>10</v>
      </c>
      <c r="G382" s="194" t="s">
        <v>5</v>
      </c>
      <c r="H382" s="254">
        <v>7.0000000000000007E-2</v>
      </c>
      <c r="I382" s="223">
        <v>7.0000000000000007E-2</v>
      </c>
      <c r="J382" s="231">
        <v>7.0000000000000007E-2</v>
      </c>
    </row>
    <row r="383" spans="1:10" s="132" customFormat="1" ht="17" thickBot="1" x14ac:dyDescent="0.25">
      <c r="A383" s="155"/>
      <c r="B383" s="195"/>
      <c r="C383" s="196" t="s">
        <v>130</v>
      </c>
      <c r="D383" s="208">
        <f>COUNTIF(376:376,"Short Asset")</f>
        <v>0</v>
      </c>
      <c r="E383" s="208"/>
      <c r="F383" s="171"/>
      <c r="G383" s="172"/>
      <c r="H383" s="257" t="s">
        <v>40</v>
      </c>
      <c r="I383" s="173" t="s">
        <v>40</v>
      </c>
      <c r="J383" s="122" t="s">
        <v>40</v>
      </c>
    </row>
    <row r="384" spans="1:10" s="132" customFormat="1" ht="20" thickBot="1" x14ac:dyDescent="0.3">
      <c r="A384" s="155"/>
      <c r="B384" s="195"/>
      <c r="C384" s="196" t="s">
        <v>152</v>
      </c>
      <c r="D384" s="208">
        <f>COUNTIF(376:376,"Long Futures")</f>
        <v>0</v>
      </c>
      <c r="E384" s="208"/>
      <c r="F384" s="558" t="s">
        <v>66</v>
      </c>
      <c r="G384" s="559"/>
      <c r="H384" s="241" t="s">
        <v>40</v>
      </c>
      <c r="I384" s="173" t="s">
        <v>40</v>
      </c>
      <c r="J384" s="122" t="s">
        <v>40</v>
      </c>
    </row>
    <row r="385" spans="1:11" s="132" customFormat="1" ht="17" thickBot="1" x14ac:dyDescent="0.25">
      <c r="A385" s="155"/>
      <c r="B385" s="195"/>
      <c r="C385" s="196" t="s">
        <v>153</v>
      </c>
      <c r="D385" s="208">
        <f>COUNTIF(376:376,"Short Futures")</f>
        <v>0</v>
      </c>
      <c r="E385" s="216"/>
      <c r="F385" s="157" t="s">
        <v>6</v>
      </c>
      <c r="G385" s="175" t="s">
        <v>2</v>
      </c>
      <c r="H385" s="245">
        <v>31</v>
      </c>
      <c r="I385" s="218">
        <v>29</v>
      </c>
      <c r="J385" s="218">
        <v>29</v>
      </c>
    </row>
    <row r="386" spans="1:11" s="132" customFormat="1" ht="17" thickBot="1" x14ac:dyDescent="0.25">
      <c r="A386" s="155"/>
      <c r="B386" s="195"/>
      <c r="C386" s="196"/>
      <c r="D386" s="208"/>
      <c r="E386" s="208"/>
      <c r="F386" s="163" t="s">
        <v>11</v>
      </c>
      <c r="G386" s="166" t="s">
        <v>12</v>
      </c>
      <c r="H386" s="222">
        <f>1/12</f>
        <v>8.3333333333333329E-2</v>
      </c>
      <c r="I386" s="222">
        <f>1/12</f>
        <v>8.3333333333333329E-2</v>
      </c>
      <c r="J386" s="222">
        <f>1/12</f>
        <v>8.3333333333333329E-2</v>
      </c>
    </row>
    <row r="387" spans="1:11" s="132" customFormat="1" ht="17" thickBot="1" x14ac:dyDescent="0.25">
      <c r="A387" s="155"/>
      <c r="B387" s="195"/>
      <c r="C387" s="196" t="s">
        <v>131</v>
      </c>
      <c r="D387" s="216">
        <f>COUNTA(376:376)</f>
        <v>3</v>
      </c>
      <c r="E387" s="208"/>
      <c r="F387" s="168" t="s">
        <v>78</v>
      </c>
      <c r="G387" s="194" t="s">
        <v>70</v>
      </c>
      <c r="H387" s="259">
        <v>1.00867453504435</v>
      </c>
      <c r="I387" s="224">
        <v>1.1277736175990854E-2</v>
      </c>
      <c r="J387" s="224">
        <v>1.1277736175990854E-2</v>
      </c>
    </row>
    <row r="388" spans="1:11" s="132" customFormat="1" ht="17" thickBot="1" x14ac:dyDescent="0.25">
      <c r="A388" s="155"/>
      <c r="B388" s="195"/>
      <c r="C388" s="196"/>
      <c r="D388" s="208"/>
      <c r="E388" s="208"/>
    </row>
    <row r="389" spans="1:11" s="132" customFormat="1" ht="17" thickBot="1" x14ac:dyDescent="0.25">
      <c r="A389" s="155"/>
      <c r="B389" s="195">
        <v>28</v>
      </c>
      <c r="C389" s="203"/>
      <c r="D389" s="204"/>
      <c r="E389" s="204" t="s">
        <v>110</v>
      </c>
      <c r="F389" s="523" t="s">
        <v>155</v>
      </c>
      <c r="G389" s="524"/>
      <c r="H389" s="277">
        <v>1</v>
      </c>
      <c r="I389" s="277">
        <v>1</v>
      </c>
      <c r="J389" s="277">
        <v>1</v>
      </c>
      <c r="K389" s="277">
        <v>1</v>
      </c>
    </row>
    <row r="390" spans="1:11" s="132" customFormat="1" ht="20" thickBot="1" x14ac:dyDescent="0.3">
      <c r="A390" s="155"/>
      <c r="B390" s="195"/>
      <c r="C390" s="203"/>
      <c r="D390" s="206"/>
      <c r="E390" s="206"/>
      <c r="F390" s="225"/>
      <c r="G390" s="145"/>
      <c r="H390" s="146" t="s">
        <v>60</v>
      </c>
      <c r="I390" s="147" t="s">
        <v>60</v>
      </c>
      <c r="J390" s="146" t="s">
        <v>62</v>
      </c>
      <c r="K390" s="147" t="s">
        <v>62</v>
      </c>
    </row>
    <row r="391" spans="1:11" s="132" customFormat="1" ht="17" thickBot="1" x14ac:dyDescent="0.25">
      <c r="A391" s="155"/>
      <c r="B391" s="195"/>
      <c r="C391" s="196"/>
      <c r="D391" s="208"/>
      <c r="E391" s="208"/>
      <c r="F391" s="148"/>
      <c r="G391" s="148"/>
      <c r="H391" s="149" t="s">
        <v>71</v>
      </c>
      <c r="I391" s="149" t="s">
        <v>115</v>
      </c>
      <c r="J391" s="149" t="s">
        <v>75</v>
      </c>
      <c r="K391" s="149" t="s">
        <v>122</v>
      </c>
    </row>
    <row r="392" spans="1:11" s="132" customFormat="1" ht="20" thickBot="1" x14ac:dyDescent="0.3">
      <c r="A392" s="155"/>
      <c r="B392" s="195"/>
      <c r="C392" s="196" t="s">
        <v>125</v>
      </c>
      <c r="D392" s="208">
        <f>COUNTIF(390:390,"Long Call")</f>
        <v>2</v>
      </c>
      <c r="E392" s="208"/>
      <c r="F392" s="556" t="s">
        <v>65</v>
      </c>
      <c r="G392" s="557"/>
      <c r="H392" s="152" t="s">
        <v>40</v>
      </c>
      <c r="I392" s="153" t="s">
        <v>40</v>
      </c>
      <c r="J392" s="153" t="s">
        <v>40</v>
      </c>
      <c r="K392" s="153" t="s">
        <v>40</v>
      </c>
    </row>
    <row r="393" spans="1:11" s="132" customFormat="1" x14ac:dyDescent="0.2">
      <c r="A393" s="155"/>
      <c r="B393" s="195"/>
      <c r="C393" s="196" t="s">
        <v>126</v>
      </c>
      <c r="D393" s="208">
        <f>COUNTIF(390:390,"Short Call")</f>
        <v>2</v>
      </c>
      <c r="E393" s="208"/>
      <c r="F393" s="157" t="s">
        <v>7</v>
      </c>
      <c r="G393" s="158" t="s">
        <v>1</v>
      </c>
      <c r="H393" s="245">
        <v>30</v>
      </c>
      <c r="I393" s="221">
        <v>30</v>
      </c>
      <c r="J393" s="229">
        <v>30</v>
      </c>
      <c r="K393" s="228">
        <v>30</v>
      </c>
    </row>
    <row r="394" spans="1:11" s="132" customFormat="1" x14ac:dyDescent="0.2">
      <c r="A394" s="155"/>
      <c r="B394" s="195"/>
      <c r="C394" s="196" t="s">
        <v>127</v>
      </c>
      <c r="D394" s="208">
        <f>COUNTIF(390:390,"Long Put")</f>
        <v>0</v>
      </c>
      <c r="E394" s="208"/>
      <c r="F394" s="163" t="s">
        <v>8</v>
      </c>
      <c r="G394" s="164" t="s">
        <v>3</v>
      </c>
      <c r="H394" s="249">
        <v>2E-3</v>
      </c>
      <c r="I394" s="222">
        <v>2E-3</v>
      </c>
      <c r="J394" s="230">
        <v>2E-3</v>
      </c>
      <c r="K394" s="230">
        <v>2E-3</v>
      </c>
    </row>
    <row r="395" spans="1:11" s="132" customFormat="1" x14ac:dyDescent="0.2">
      <c r="A395" s="155"/>
      <c r="B395" s="195"/>
      <c r="C395" s="196" t="s">
        <v>128</v>
      </c>
      <c r="D395" s="208">
        <f>COUNTIF(390:390,"Short Put")</f>
        <v>0</v>
      </c>
      <c r="E395" s="208"/>
      <c r="F395" s="163" t="s">
        <v>9</v>
      </c>
      <c r="G395" s="166" t="s">
        <v>4</v>
      </c>
      <c r="H395" s="250">
        <v>0</v>
      </c>
      <c r="I395" s="222">
        <v>0</v>
      </c>
      <c r="J395" s="230">
        <v>0</v>
      </c>
      <c r="K395" s="230">
        <v>0</v>
      </c>
    </row>
    <row r="396" spans="1:11" s="132" customFormat="1" ht="17" thickBot="1" x14ac:dyDescent="0.25">
      <c r="A396" s="155"/>
      <c r="B396" s="195"/>
      <c r="C396" s="196" t="s">
        <v>129</v>
      </c>
      <c r="D396" s="208">
        <f>COUNTIF(390:390,"Long Asset")</f>
        <v>0</v>
      </c>
      <c r="E396" s="208"/>
      <c r="F396" s="168" t="s">
        <v>10</v>
      </c>
      <c r="G396" s="194" t="s">
        <v>5</v>
      </c>
      <c r="H396" s="254">
        <v>7.0000000000000007E-2</v>
      </c>
      <c r="I396" s="223">
        <v>7.0000000000000007E-2</v>
      </c>
      <c r="J396" s="231">
        <v>7.0000000000000007E-2</v>
      </c>
      <c r="K396" s="231">
        <v>7.0000000000000007E-2</v>
      </c>
    </row>
    <row r="397" spans="1:11" s="132" customFormat="1" ht="17" thickBot="1" x14ac:dyDescent="0.25">
      <c r="A397" s="155"/>
      <c r="B397" s="195"/>
      <c r="C397" s="196" t="s">
        <v>130</v>
      </c>
      <c r="D397" s="208">
        <f>COUNTIF(390:390,"Short Asset")</f>
        <v>0</v>
      </c>
      <c r="E397" s="208"/>
      <c r="F397" s="171"/>
      <c r="G397" s="172"/>
      <c r="H397" s="257" t="s">
        <v>40</v>
      </c>
      <c r="I397" s="173" t="s">
        <v>40</v>
      </c>
      <c r="J397" s="122" t="s">
        <v>40</v>
      </c>
      <c r="K397" s="122" t="s">
        <v>40</v>
      </c>
    </row>
    <row r="398" spans="1:11" s="132" customFormat="1" ht="20" thickBot="1" x14ac:dyDescent="0.3">
      <c r="A398" s="155"/>
      <c r="B398" s="195"/>
      <c r="C398" s="196" t="s">
        <v>152</v>
      </c>
      <c r="D398" s="208">
        <f>COUNTIF(390:390,"Long Futures")</f>
        <v>0</v>
      </c>
      <c r="E398" s="208"/>
      <c r="F398" s="558" t="s">
        <v>66</v>
      </c>
      <c r="G398" s="559"/>
      <c r="H398" s="241" t="s">
        <v>40</v>
      </c>
      <c r="I398" s="173" t="s">
        <v>40</v>
      </c>
      <c r="J398" s="122" t="s">
        <v>40</v>
      </c>
      <c r="K398" s="122" t="s">
        <v>40</v>
      </c>
    </row>
    <row r="399" spans="1:11" s="132" customFormat="1" ht="17" thickBot="1" x14ac:dyDescent="0.25">
      <c r="A399" s="155"/>
      <c r="B399" s="195"/>
      <c r="C399" s="196" t="s">
        <v>153</v>
      </c>
      <c r="D399" s="208">
        <f>COUNTIF(390:390,"Short Futures")</f>
        <v>0</v>
      </c>
      <c r="E399" s="216"/>
      <c r="F399" s="157" t="s">
        <v>6</v>
      </c>
      <c r="G399" s="175" t="s">
        <v>2</v>
      </c>
      <c r="H399" s="245">
        <v>28</v>
      </c>
      <c r="I399" s="218">
        <v>32</v>
      </c>
      <c r="J399" s="218">
        <v>30</v>
      </c>
      <c r="K399" s="229">
        <v>30</v>
      </c>
    </row>
    <row r="400" spans="1:11" s="132" customFormat="1" ht="17" thickBot="1" x14ac:dyDescent="0.25">
      <c r="A400" s="155"/>
      <c r="B400" s="195"/>
      <c r="C400" s="196"/>
      <c r="D400" s="208"/>
      <c r="E400" s="208"/>
      <c r="F400" s="163" t="s">
        <v>11</v>
      </c>
      <c r="G400" s="166" t="s">
        <v>12</v>
      </c>
      <c r="H400" s="222">
        <v>8.2191781000000005E-2</v>
      </c>
      <c r="I400" s="222">
        <v>8.2191781000000005E-2</v>
      </c>
      <c r="J400" s="222">
        <v>8.2191781000000005E-2</v>
      </c>
      <c r="K400" s="230">
        <v>8.2191781000000005E-2</v>
      </c>
    </row>
    <row r="401" spans="1:11" s="132" customFormat="1" ht="17" thickBot="1" x14ac:dyDescent="0.25">
      <c r="A401" s="155"/>
      <c r="B401" s="195"/>
      <c r="C401" s="196" t="s">
        <v>131</v>
      </c>
      <c r="D401" s="216">
        <f>COUNTA(390:390)</f>
        <v>4</v>
      </c>
      <c r="E401" s="208"/>
      <c r="F401" s="168" t="s">
        <v>78</v>
      </c>
      <c r="G401" s="194" t="s">
        <v>70</v>
      </c>
      <c r="H401" s="259">
        <v>2.0046444525945613</v>
      </c>
      <c r="I401" s="224">
        <v>1.119085237995185E-4</v>
      </c>
      <c r="J401" s="224">
        <v>0.24263355170124734</v>
      </c>
      <c r="K401" s="235">
        <v>0.24263355170124734</v>
      </c>
    </row>
    <row r="402" spans="1:11" s="132" customFormat="1" ht="17" thickBot="1" x14ac:dyDescent="0.25">
      <c r="A402" s="155"/>
      <c r="B402" s="195"/>
      <c r="C402" s="196"/>
      <c r="D402" s="208"/>
      <c r="E402" s="208"/>
    </row>
    <row r="403" spans="1:11" s="132" customFormat="1" ht="17" thickBot="1" x14ac:dyDescent="0.25">
      <c r="A403" s="155"/>
      <c r="B403" s="195">
        <v>29</v>
      </c>
      <c r="C403" s="203"/>
      <c r="D403" s="204"/>
      <c r="E403" s="204" t="s">
        <v>111</v>
      </c>
      <c r="F403" s="523" t="s">
        <v>155</v>
      </c>
      <c r="G403" s="524"/>
      <c r="H403" s="277">
        <v>1</v>
      </c>
      <c r="I403" s="277">
        <v>1</v>
      </c>
      <c r="J403" s="277">
        <v>1</v>
      </c>
      <c r="K403" s="277">
        <v>1</v>
      </c>
    </row>
    <row r="404" spans="1:11" s="132" customFormat="1" ht="20" thickBot="1" x14ac:dyDescent="0.3">
      <c r="A404" s="155"/>
      <c r="B404" s="195"/>
      <c r="C404" s="203"/>
      <c r="D404" s="206"/>
      <c r="E404" s="206"/>
      <c r="F404" s="225"/>
      <c r="G404" s="145"/>
      <c r="H404" s="146" t="s">
        <v>60</v>
      </c>
      <c r="I404" s="147" t="s">
        <v>60</v>
      </c>
      <c r="J404" s="146" t="s">
        <v>62</v>
      </c>
      <c r="K404" s="147" t="s">
        <v>62</v>
      </c>
    </row>
    <row r="405" spans="1:11" s="132" customFormat="1" ht="17" thickBot="1" x14ac:dyDescent="0.25">
      <c r="A405" s="155"/>
      <c r="B405" s="195"/>
      <c r="C405" s="196"/>
      <c r="D405" s="208"/>
      <c r="E405" s="208"/>
      <c r="F405" s="148"/>
      <c r="G405" s="148"/>
      <c r="H405" s="149" t="s">
        <v>71</v>
      </c>
      <c r="I405" s="149" t="s">
        <v>115</v>
      </c>
      <c r="J405" s="149" t="s">
        <v>75</v>
      </c>
      <c r="K405" s="149" t="s">
        <v>122</v>
      </c>
    </row>
    <row r="406" spans="1:11" s="132" customFormat="1" ht="20" thickBot="1" x14ac:dyDescent="0.3">
      <c r="A406" s="155"/>
      <c r="B406" s="195"/>
      <c r="C406" s="196" t="s">
        <v>125</v>
      </c>
      <c r="D406" s="208">
        <f>COUNTIF(404:404,"Long Call")</f>
        <v>2</v>
      </c>
      <c r="E406" s="208"/>
      <c r="F406" s="556" t="s">
        <v>65</v>
      </c>
      <c r="G406" s="557"/>
      <c r="H406" s="152" t="s">
        <v>40</v>
      </c>
      <c r="I406" s="153" t="s">
        <v>40</v>
      </c>
      <c r="J406" s="153" t="s">
        <v>40</v>
      </c>
      <c r="K406" s="153" t="s">
        <v>40</v>
      </c>
    </row>
    <row r="407" spans="1:11" s="132" customFormat="1" x14ac:dyDescent="0.2">
      <c r="A407" s="155"/>
      <c r="B407" s="195"/>
      <c r="C407" s="196" t="s">
        <v>126</v>
      </c>
      <c r="D407" s="208">
        <f>COUNTIF(404:404,"Short Call")</f>
        <v>2</v>
      </c>
      <c r="E407" s="208"/>
      <c r="F407" s="157" t="s">
        <v>7</v>
      </c>
      <c r="G407" s="158" t="s">
        <v>1</v>
      </c>
      <c r="H407" s="245">
        <v>30</v>
      </c>
      <c r="I407" s="221">
        <v>30</v>
      </c>
      <c r="J407" s="229">
        <v>30</v>
      </c>
      <c r="K407" s="228">
        <v>30</v>
      </c>
    </row>
    <row r="408" spans="1:11" s="132" customFormat="1" x14ac:dyDescent="0.2">
      <c r="A408" s="155"/>
      <c r="B408" s="195"/>
      <c r="C408" s="196" t="s">
        <v>127</v>
      </c>
      <c r="D408" s="208">
        <f>COUNTIF(404:404,"Long Put")</f>
        <v>0</v>
      </c>
      <c r="E408" s="208"/>
      <c r="F408" s="163" t="s">
        <v>8</v>
      </c>
      <c r="G408" s="164" t="s">
        <v>3</v>
      </c>
      <c r="H408" s="249">
        <v>2E-3</v>
      </c>
      <c r="I408" s="222">
        <v>2E-3</v>
      </c>
      <c r="J408" s="230">
        <v>2E-3</v>
      </c>
      <c r="K408" s="230">
        <v>2E-3</v>
      </c>
    </row>
    <row r="409" spans="1:11" s="132" customFormat="1" x14ac:dyDescent="0.2">
      <c r="A409" s="155"/>
      <c r="B409" s="195"/>
      <c r="C409" s="196" t="s">
        <v>128</v>
      </c>
      <c r="D409" s="208">
        <f>COUNTIF(404:404,"Short Put")</f>
        <v>0</v>
      </c>
      <c r="E409" s="208"/>
      <c r="F409" s="163" t="s">
        <v>9</v>
      </c>
      <c r="G409" s="166" t="s">
        <v>4</v>
      </c>
      <c r="H409" s="250">
        <v>0</v>
      </c>
      <c r="I409" s="222">
        <v>0</v>
      </c>
      <c r="J409" s="230">
        <v>0</v>
      </c>
      <c r="K409" s="230">
        <v>0</v>
      </c>
    </row>
    <row r="410" spans="1:11" s="132" customFormat="1" ht="17" thickBot="1" x14ac:dyDescent="0.25">
      <c r="A410" s="155"/>
      <c r="B410" s="195"/>
      <c r="C410" s="196" t="s">
        <v>129</v>
      </c>
      <c r="D410" s="208">
        <f>COUNTIF(404:404,"Long Asset")</f>
        <v>0</v>
      </c>
      <c r="E410" s="208"/>
      <c r="F410" s="168" t="s">
        <v>10</v>
      </c>
      <c r="G410" s="194" t="s">
        <v>5</v>
      </c>
      <c r="H410" s="254">
        <v>7.0000000000000007E-2</v>
      </c>
      <c r="I410" s="223">
        <v>7.0000000000000007E-2</v>
      </c>
      <c r="J410" s="231">
        <v>7.0000000000000007E-2</v>
      </c>
      <c r="K410" s="231">
        <v>7.0000000000000007E-2</v>
      </c>
    </row>
    <row r="411" spans="1:11" s="132" customFormat="1" ht="17" thickBot="1" x14ac:dyDescent="0.25">
      <c r="A411" s="155"/>
      <c r="B411" s="195"/>
      <c r="C411" s="196" t="s">
        <v>130</v>
      </c>
      <c r="D411" s="208">
        <f>COUNTIF(404:404,"Short Asset")</f>
        <v>0</v>
      </c>
      <c r="E411" s="208"/>
      <c r="F411" s="171"/>
      <c r="G411" s="172"/>
      <c r="H411" s="257" t="s">
        <v>40</v>
      </c>
      <c r="I411" s="173" t="s">
        <v>40</v>
      </c>
      <c r="J411" s="122" t="s">
        <v>40</v>
      </c>
      <c r="K411" s="122" t="s">
        <v>40</v>
      </c>
    </row>
    <row r="412" spans="1:11" s="132" customFormat="1" ht="20" thickBot="1" x14ac:dyDescent="0.3">
      <c r="A412" s="155"/>
      <c r="B412" s="195"/>
      <c r="C412" s="196" t="s">
        <v>152</v>
      </c>
      <c r="D412" s="208">
        <f>COUNTIF(404:404,"Long Futures")</f>
        <v>0</v>
      </c>
      <c r="E412" s="208"/>
      <c r="F412" s="558" t="s">
        <v>66</v>
      </c>
      <c r="G412" s="559"/>
      <c r="H412" s="241" t="s">
        <v>40</v>
      </c>
      <c r="I412" s="173" t="s">
        <v>40</v>
      </c>
      <c r="J412" s="122" t="s">
        <v>40</v>
      </c>
      <c r="K412" s="122" t="s">
        <v>40</v>
      </c>
    </row>
    <row r="413" spans="1:11" s="132" customFormat="1" ht="17" thickBot="1" x14ac:dyDescent="0.25">
      <c r="A413" s="155"/>
      <c r="B413" s="195"/>
      <c r="C413" s="196" t="s">
        <v>153</v>
      </c>
      <c r="D413" s="208">
        <f>COUNTIF(404:404,"Short Futures")</f>
        <v>0</v>
      </c>
      <c r="E413" s="216"/>
      <c r="F413" s="157" t="s">
        <v>6</v>
      </c>
      <c r="G413" s="175" t="s">
        <v>2</v>
      </c>
      <c r="H413" s="245">
        <v>30</v>
      </c>
      <c r="I413" s="218">
        <v>30</v>
      </c>
      <c r="J413" s="218">
        <v>28</v>
      </c>
      <c r="K413" s="229">
        <v>32</v>
      </c>
    </row>
    <row r="414" spans="1:11" s="132" customFormat="1" ht="17" thickBot="1" x14ac:dyDescent="0.25">
      <c r="A414" s="155"/>
      <c r="B414" s="195"/>
      <c r="C414" s="196"/>
      <c r="D414" s="208"/>
      <c r="E414" s="208"/>
      <c r="F414" s="163" t="s">
        <v>11</v>
      </c>
      <c r="G414" s="166" t="s">
        <v>12</v>
      </c>
      <c r="H414" s="222">
        <v>8.2191781000000005E-2</v>
      </c>
      <c r="I414" s="222">
        <v>8.2191781000000005E-2</v>
      </c>
      <c r="J414" s="222">
        <v>8.2191781000000005E-2</v>
      </c>
      <c r="K414" s="230">
        <v>8.2191781000000005E-2</v>
      </c>
    </row>
    <row r="415" spans="1:11" s="132" customFormat="1" ht="17" thickBot="1" x14ac:dyDescent="0.25">
      <c r="A415" s="155"/>
      <c r="B415" s="195"/>
      <c r="C415" s="196" t="s">
        <v>131</v>
      </c>
      <c r="D415" s="216">
        <f>COUNTA(404:404)</f>
        <v>4</v>
      </c>
      <c r="E415" s="208"/>
      <c r="F415" s="168" t="s">
        <v>78</v>
      </c>
      <c r="G415" s="194" t="s">
        <v>70</v>
      </c>
      <c r="H415" s="259">
        <v>0.24263355170124734</v>
      </c>
      <c r="I415" s="224">
        <v>0.24263355170124734</v>
      </c>
      <c r="J415" s="224">
        <v>2.0046444525945613</v>
      </c>
      <c r="K415" s="235">
        <v>1.119085237995185E-4</v>
      </c>
    </row>
    <row r="416" spans="1:11" s="132" customFormat="1" ht="17" thickBot="1" x14ac:dyDescent="0.25">
      <c r="A416" s="155"/>
      <c r="B416" s="195"/>
      <c r="C416" s="196"/>
      <c r="D416" s="208"/>
      <c r="E416" s="208"/>
    </row>
    <row r="417" spans="1:11" s="132" customFormat="1" ht="17" thickBot="1" x14ac:dyDescent="0.25">
      <c r="A417" s="155"/>
      <c r="B417" s="195">
        <v>30</v>
      </c>
      <c r="C417" s="203"/>
      <c r="D417" s="204"/>
      <c r="E417" s="204" t="s">
        <v>112</v>
      </c>
      <c r="F417" s="523" t="s">
        <v>155</v>
      </c>
      <c r="G417" s="524"/>
      <c r="H417" s="277">
        <v>1</v>
      </c>
      <c r="I417" s="277">
        <v>1</v>
      </c>
      <c r="J417" s="277">
        <v>1</v>
      </c>
      <c r="K417" s="277">
        <v>1</v>
      </c>
    </row>
    <row r="418" spans="1:11" s="132" customFormat="1" ht="20" thickBot="1" x14ac:dyDescent="0.3">
      <c r="A418" s="155"/>
      <c r="B418" s="195"/>
      <c r="C418" s="203"/>
      <c r="D418" s="206"/>
      <c r="E418" s="206"/>
      <c r="F418" s="225"/>
      <c r="G418" s="260"/>
      <c r="H418" s="261" t="s">
        <v>61</v>
      </c>
      <c r="I418" s="263" t="s">
        <v>61</v>
      </c>
      <c r="J418" s="262" t="s">
        <v>63</v>
      </c>
      <c r="K418" s="263" t="s">
        <v>63</v>
      </c>
    </row>
    <row r="419" spans="1:11" s="132" customFormat="1" ht="17" thickBot="1" x14ac:dyDescent="0.25">
      <c r="A419" s="155"/>
      <c r="B419" s="195"/>
      <c r="C419" s="196"/>
      <c r="D419" s="208"/>
      <c r="E419" s="208"/>
      <c r="F419" s="239"/>
      <c r="G419" s="239"/>
      <c r="H419" s="240" t="s">
        <v>72</v>
      </c>
      <c r="I419" s="240" t="s">
        <v>116</v>
      </c>
      <c r="J419" s="240" t="s">
        <v>73</v>
      </c>
      <c r="K419" s="240" t="s">
        <v>123</v>
      </c>
    </row>
    <row r="420" spans="1:11" s="132" customFormat="1" ht="20" thickBot="1" x14ac:dyDescent="0.3">
      <c r="A420" s="155"/>
      <c r="B420" s="195"/>
      <c r="C420" s="196" t="s">
        <v>125</v>
      </c>
      <c r="D420" s="208">
        <f>COUNTIF(418:418,"Long Call")</f>
        <v>0</v>
      </c>
      <c r="E420" s="208"/>
      <c r="F420" s="560" t="s">
        <v>65</v>
      </c>
      <c r="G420" s="561"/>
      <c r="H420" s="241" t="s">
        <v>40</v>
      </c>
      <c r="I420" s="242" t="s">
        <v>40</v>
      </c>
      <c r="J420" s="242" t="s">
        <v>40</v>
      </c>
      <c r="K420" s="242" t="s">
        <v>40</v>
      </c>
    </row>
    <row r="421" spans="1:11" s="132" customFormat="1" x14ac:dyDescent="0.2">
      <c r="A421" s="155"/>
      <c r="B421" s="195"/>
      <c r="C421" s="196" t="s">
        <v>126</v>
      </c>
      <c r="D421" s="208">
        <f>COUNTIF(418:418,"Short Call")</f>
        <v>0</v>
      </c>
      <c r="E421" s="208"/>
      <c r="F421" s="243" t="s">
        <v>7</v>
      </c>
      <c r="G421" s="244" t="s">
        <v>1</v>
      </c>
      <c r="H421" s="245">
        <v>30</v>
      </c>
      <c r="I421" s="246">
        <v>30</v>
      </c>
      <c r="J421" s="245">
        <v>30</v>
      </c>
      <c r="K421" s="246">
        <v>30</v>
      </c>
    </row>
    <row r="422" spans="1:11" s="132" customFormat="1" x14ac:dyDescent="0.2">
      <c r="A422" s="155"/>
      <c r="B422" s="195"/>
      <c r="C422" s="196" t="s">
        <v>127</v>
      </c>
      <c r="D422" s="208">
        <f>COUNTIF(418:418,"Long Put")</f>
        <v>2</v>
      </c>
      <c r="E422" s="208"/>
      <c r="F422" s="247" t="s">
        <v>8</v>
      </c>
      <c r="G422" s="248" t="s">
        <v>3</v>
      </c>
      <c r="H422" s="249">
        <v>2E-3</v>
      </c>
      <c r="I422" s="250">
        <v>2E-3</v>
      </c>
      <c r="J422" s="250">
        <v>2E-3</v>
      </c>
      <c r="K422" s="250">
        <v>2E-3</v>
      </c>
    </row>
    <row r="423" spans="1:11" s="132" customFormat="1" x14ac:dyDescent="0.2">
      <c r="A423" s="155"/>
      <c r="B423" s="195"/>
      <c r="C423" s="196" t="s">
        <v>128</v>
      </c>
      <c r="D423" s="208">
        <f>COUNTIF(418:418,"Short Put")</f>
        <v>2</v>
      </c>
      <c r="E423" s="208"/>
      <c r="F423" s="247" t="s">
        <v>9</v>
      </c>
      <c r="G423" s="251" t="s">
        <v>4</v>
      </c>
      <c r="H423" s="250">
        <v>0</v>
      </c>
      <c r="I423" s="250">
        <v>0</v>
      </c>
      <c r="J423" s="250">
        <v>0</v>
      </c>
      <c r="K423" s="250">
        <v>0</v>
      </c>
    </row>
    <row r="424" spans="1:11" s="132" customFormat="1" ht="17" thickBot="1" x14ac:dyDescent="0.25">
      <c r="A424" s="155"/>
      <c r="B424" s="195"/>
      <c r="C424" s="196" t="s">
        <v>129</v>
      </c>
      <c r="D424" s="208">
        <f>COUNTIF(418:418,"Long Asset")</f>
        <v>0</v>
      </c>
      <c r="E424" s="208"/>
      <c r="F424" s="252" t="s">
        <v>10</v>
      </c>
      <c r="G424" s="253" t="s">
        <v>5</v>
      </c>
      <c r="H424" s="254">
        <v>7.0000000000000007E-2</v>
      </c>
      <c r="I424" s="254">
        <v>7.0000000000000007E-2</v>
      </c>
      <c r="J424" s="254">
        <v>7.0000000000000007E-2</v>
      </c>
      <c r="K424" s="254">
        <v>7.0000000000000007E-2</v>
      </c>
    </row>
    <row r="425" spans="1:11" s="132" customFormat="1" ht="17" thickBot="1" x14ac:dyDescent="0.25">
      <c r="A425" s="155"/>
      <c r="B425" s="195"/>
      <c r="C425" s="196" t="s">
        <v>130</v>
      </c>
      <c r="D425" s="208">
        <f>COUNTIF(418:418,"Short Asset")</f>
        <v>0</v>
      </c>
      <c r="E425" s="208"/>
      <c r="F425" s="255"/>
      <c r="G425" s="256"/>
      <c r="H425" s="257" t="s">
        <v>40</v>
      </c>
      <c r="I425" s="257" t="s">
        <v>40</v>
      </c>
      <c r="J425" s="257" t="s">
        <v>40</v>
      </c>
      <c r="K425" s="257" t="s">
        <v>40</v>
      </c>
    </row>
    <row r="426" spans="1:11" s="132" customFormat="1" ht="20" thickBot="1" x14ac:dyDescent="0.3">
      <c r="A426" s="155"/>
      <c r="B426" s="195"/>
      <c r="C426" s="196" t="s">
        <v>152</v>
      </c>
      <c r="D426" s="208">
        <f>COUNTIF(418:418,"Long Futures")</f>
        <v>0</v>
      </c>
      <c r="E426" s="208"/>
      <c r="F426" s="560" t="s">
        <v>66</v>
      </c>
      <c r="G426" s="561"/>
      <c r="H426" s="241" t="s">
        <v>40</v>
      </c>
      <c r="I426" s="257" t="s">
        <v>40</v>
      </c>
      <c r="J426" s="257" t="s">
        <v>40</v>
      </c>
      <c r="K426" s="257" t="s">
        <v>40</v>
      </c>
    </row>
    <row r="427" spans="1:11" s="132" customFormat="1" ht="17" thickBot="1" x14ac:dyDescent="0.25">
      <c r="A427" s="155"/>
      <c r="B427" s="195"/>
      <c r="C427" s="196" t="s">
        <v>153</v>
      </c>
      <c r="D427" s="208">
        <f>COUNTIF(418:418,"Short Futures")</f>
        <v>0</v>
      </c>
      <c r="E427" s="216"/>
      <c r="F427" s="243" t="s">
        <v>6</v>
      </c>
      <c r="G427" s="258" t="s">
        <v>2</v>
      </c>
      <c r="H427" s="245">
        <v>28</v>
      </c>
      <c r="I427" s="245">
        <v>32</v>
      </c>
      <c r="J427" s="245">
        <v>30</v>
      </c>
      <c r="K427" s="245">
        <v>30</v>
      </c>
    </row>
    <row r="428" spans="1:11" s="132" customFormat="1" ht="17" thickBot="1" x14ac:dyDescent="0.25">
      <c r="A428" s="155"/>
      <c r="B428" s="195"/>
      <c r="C428" s="196"/>
      <c r="D428" s="208"/>
      <c r="E428" s="208"/>
      <c r="F428" s="247" t="s">
        <v>11</v>
      </c>
      <c r="G428" s="251" t="s">
        <v>12</v>
      </c>
      <c r="H428" s="250">
        <v>8.2191781000000005E-2</v>
      </c>
      <c r="I428" s="250">
        <v>8.2191780000000006E-2</v>
      </c>
      <c r="J428" s="250">
        <v>8.2191780000000006E-2</v>
      </c>
      <c r="K428" s="250">
        <v>8.2191780000000006E-2</v>
      </c>
    </row>
    <row r="429" spans="1:11" s="132" customFormat="1" ht="17" thickBot="1" x14ac:dyDescent="0.25">
      <c r="A429" s="155"/>
      <c r="B429" s="195"/>
      <c r="C429" s="196" t="s">
        <v>131</v>
      </c>
      <c r="D429" s="216">
        <f>COUNTA(418:418)</f>
        <v>4</v>
      </c>
      <c r="E429" s="208"/>
      <c r="F429" s="252" t="s">
        <v>78</v>
      </c>
      <c r="G429" s="253" t="s">
        <v>70</v>
      </c>
      <c r="H429" s="264">
        <v>4.2091100000000001E-5</v>
      </c>
      <c r="I429" s="259">
        <v>1.9948520700000001</v>
      </c>
      <c r="J429" s="259">
        <v>0.23770245000000001</v>
      </c>
      <c r="K429" s="259">
        <v>0.23770245000000001</v>
      </c>
    </row>
    <row r="430" spans="1:11" s="132" customFormat="1" ht="17" thickBot="1" x14ac:dyDescent="0.25">
      <c r="A430" s="155"/>
      <c r="B430" s="195"/>
      <c r="C430" s="196"/>
      <c r="D430" s="208"/>
      <c r="E430" s="208"/>
    </row>
    <row r="431" spans="1:11" s="132" customFormat="1" ht="17" thickBot="1" x14ac:dyDescent="0.25">
      <c r="A431" s="155"/>
      <c r="B431" s="195">
        <v>31</v>
      </c>
      <c r="C431" s="203"/>
      <c r="D431" s="204"/>
      <c r="E431" s="204" t="s">
        <v>113</v>
      </c>
      <c r="F431" s="523" t="s">
        <v>155</v>
      </c>
      <c r="G431" s="524"/>
      <c r="H431" s="277">
        <v>1</v>
      </c>
      <c r="I431" s="277">
        <v>1</v>
      </c>
      <c r="J431" s="277">
        <v>1</v>
      </c>
      <c r="K431" s="277">
        <v>1</v>
      </c>
    </row>
    <row r="432" spans="1:11" s="132" customFormat="1" ht="17" thickBot="1" x14ac:dyDescent="0.25">
      <c r="A432" s="155"/>
      <c r="B432" s="195"/>
      <c r="C432" s="203"/>
      <c r="D432" s="206"/>
      <c r="E432" s="206"/>
      <c r="F432" s="145"/>
      <c r="G432" s="145"/>
      <c r="H432" s="146" t="s">
        <v>61</v>
      </c>
      <c r="I432" s="147" t="s">
        <v>61</v>
      </c>
      <c r="J432" s="146" t="s">
        <v>63</v>
      </c>
      <c r="K432" s="147" t="s">
        <v>63</v>
      </c>
    </row>
    <row r="433" spans="1:11" s="132" customFormat="1" ht="17" thickBot="1" x14ac:dyDescent="0.25">
      <c r="A433" s="155"/>
      <c r="B433" s="195"/>
      <c r="C433" s="196"/>
      <c r="D433" s="208"/>
      <c r="E433" s="208"/>
      <c r="F433" s="148"/>
      <c r="G433" s="148"/>
      <c r="H433" s="149" t="s">
        <v>72</v>
      </c>
      <c r="I433" s="149" t="s">
        <v>116</v>
      </c>
      <c r="J433" s="149" t="s">
        <v>73</v>
      </c>
      <c r="K433" s="149" t="s">
        <v>123</v>
      </c>
    </row>
    <row r="434" spans="1:11" s="132" customFormat="1" ht="20" thickBot="1" x14ac:dyDescent="0.3">
      <c r="A434" s="155"/>
      <c r="B434" s="195"/>
      <c r="C434" s="196" t="s">
        <v>125</v>
      </c>
      <c r="D434" s="208">
        <f>COUNTIF(432:432,"Long Call")</f>
        <v>0</v>
      </c>
      <c r="E434" s="208"/>
      <c r="F434" s="556" t="s">
        <v>65</v>
      </c>
      <c r="G434" s="557"/>
      <c r="H434" s="152" t="s">
        <v>40</v>
      </c>
      <c r="I434" s="153" t="s">
        <v>40</v>
      </c>
      <c r="J434" s="153" t="s">
        <v>40</v>
      </c>
      <c r="K434" s="153" t="s">
        <v>40</v>
      </c>
    </row>
    <row r="435" spans="1:11" s="132" customFormat="1" x14ac:dyDescent="0.2">
      <c r="A435" s="155"/>
      <c r="B435" s="195"/>
      <c r="C435" s="196" t="s">
        <v>126</v>
      </c>
      <c r="D435" s="208">
        <f>COUNTIF(432:432,"Short Call")</f>
        <v>0</v>
      </c>
      <c r="E435" s="208"/>
      <c r="F435" s="157" t="s">
        <v>7</v>
      </c>
      <c r="G435" s="158" t="s">
        <v>1</v>
      </c>
      <c r="H435" s="245">
        <v>30</v>
      </c>
      <c r="I435" s="246">
        <v>30</v>
      </c>
      <c r="J435" s="245">
        <v>30</v>
      </c>
      <c r="K435" s="246">
        <v>30</v>
      </c>
    </row>
    <row r="436" spans="1:11" s="132" customFormat="1" x14ac:dyDescent="0.2">
      <c r="A436" s="155"/>
      <c r="B436" s="195"/>
      <c r="C436" s="196" t="s">
        <v>127</v>
      </c>
      <c r="D436" s="208">
        <f>COUNTIF(432:432,"Long Put")</f>
        <v>2</v>
      </c>
      <c r="E436" s="208"/>
      <c r="F436" s="163" t="s">
        <v>8</v>
      </c>
      <c r="G436" s="164" t="s">
        <v>3</v>
      </c>
      <c r="H436" s="249">
        <v>2E-3</v>
      </c>
      <c r="I436" s="250">
        <v>2E-3</v>
      </c>
      <c r="J436" s="250">
        <v>2E-3</v>
      </c>
      <c r="K436" s="250">
        <v>2E-3</v>
      </c>
    </row>
    <row r="437" spans="1:11" s="132" customFormat="1" x14ac:dyDescent="0.2">
      <c r="A437" s="155"/>
      <c r="B437" s="195"/>
      <c r="C437" s="196" t="s">
        <v>128</v>
      </c>
      <c r="D437" s="208">
        <f>COUNTIF(432:432,"Short Put")</f>
        <v>2</v>
      </c>
      <c r="E437" s="208"/>
      <c r="F437" s="163" t="s">
        <v>9</v>
      </c>
      <c r="G437" s="166" t="s">
        <v>4</v>
      </c>
      <c r="H437" s="250">
        <v>0</v>
      </c>
      <c r="I437" s="250">
        <v>0</v>
      </c>
      <c r="J437" s="250">
        <v>0</v>
      </c>
      <c r="K437" s="250">
        <v>0</v>
      </c>
    </row>
    <row r="438" spans="1:11" s="132" customFormat="1" ht="17" thickBot="1" x14ac:dyDescent="0.25">
      <c r="A438" s="155"/>
      <c r="B438" s="195"/>
      <c r="C438" s="196" t="s">
        <v>129</v>
      </c>
      <c r="D438" s="208">
        <f>COUNTIF(432:432,"Long Asset")</f>
        <v>0</v>
      </c>
      <c r="E438" s="208"/>
      <c r="F438" s="168" t="s">
        <v>10</v>
      </c>
      <c r="G438" s="194" t="s">
        <v>5</v>
      </c>
      <c r="H438" s="254">
        <v>7.0000000000000007E-2</v>
      </c>
      <c r="I438" s="254">
        <v>7.0000000000000007E-2</v>
      </c>
      <c r="J438" s="254">
        <v>7.0000000000000007E-2</v>
      </c>
      <c r="K438" s="254">
        <v>7.0000000000000007E-2</v>
      </c>
    </row>
    <row r="439" spans="1:11" s="132" customFormat="1" ht="17" thickBot="1" x14ac:dyDescent="0.25">
      <c r="A439" s="155"/>
      <c r="B439" s="195"/>
      <c r="C439" s="196" t="s">
        <v>130</v>
      </c>
      <c r="D439" s="208">
        <f>COUNTIF(432:432,"Short Asset")</f>
        <v>0</v>
      </c>
      <c r="E439" s="208"/>
      <c r="F439" s="171"/>
      <c r="G439" s="172"/>
      <c r="H439" s="257" t="s">
        <v>40</v>
      </c>
      <c r="I439" s="257" t="s">
        <v>40</v>
      </c>
      <c r="J439" s="257" t="s">
        <v>40</v>
      </c>
      <c r="K439" s="257" t="s">
        <v>40</v>
      </c>
    </row>
    <row r="440" spans="1:11" s="132" customFormat="1" ht="20" thickBot="1" x14ac:dyDescent="0.3">
      <c r="A440" s="155"/>
      <c r="B440" s="195"/>
      <c r="C440" s="196" t="s">
        <v>152</v>
      </c>
      <c r="D440" s="208">
        <f>COUNTIF(432:432,"Long Futures")</f>
        <v>0</v>
      </c>
      <c r="E440" s="208"/>
      <c r="F440" s="558" t="s">
        <v>66</v>
      </c>
      <c r="G440" s="559"/>
      <c r="H440" s="241" t="s">
        <v>40</v>
      </c>
      <c r="I440" s="257" t="s">
        <v>40</v>
      </c>
      <c r="J440" s="257" t="s">
        <v>40</v>
      </c>
      <c r="K440" s="257" t="s">
        <v>40</v>
      </c>
    </row>
    <row r="441" spans="1:11" s="132" customFormat="1" ht="17" thickBot="1" x14ac:dyDescent="0.25">
      <c r="A441" s="155"/>
      <c r="B441" s="195"/>
      <c r="C441" s="196" t="s">
        <v>153</v>
      </c>
      <c r="D441" s="208">
        <f>COUNTIF(432:432,"Short Futures")</f>
        <v>0</v>
      </c>
      <c r="E441" s="216"/>
      <c r="F441" s="157" t="s">
        <v>6</v>
      </c>
      <c r="G441" s="175" t="s">
        <v>2</v>
      </c>
      <c r="H441" s="245">
        <v>30</v>
      </c>
      <c r="I441" s="245">
        <v>30</v>
      </c>
      <c r="J441" s="245">
        <v>28</v>
      </c>
      <c r="K441" s="245">
        <v>32</v>
      </c>
    </row>
    <row r="442" spans="1:11" s="132" customFormat="1" ht="17" thickBot="1" x14ac:dyDescent="0.25">
      <c r="A442" s="155"/>
      <c r="B442" s="195"/>
      <c r="C442" s="196"/>
      <c r="D442" s="208"/>
      <c r="E442" s="208"/>
      <c r="F442" s="163" t="s">
        <v>11</v>
      </c>
      <c r="G442" s="166" t="s">
        <v>12</v>
      </c>
      <c r="H442" s="250">
        <v>8.2191781000000005E-2</v>
      </c>
      <c r="I442" s="250">
        <v>8.2191780000000006E-2</v>
      </c>
      <c r="J442" s="250">
        <v>8.2191780000000006E-2</v>
      </c>
      <c r="K442" s="250">
        <v>8.2191780000000006E-2</v>
      </c>
    </row>
    <row r="443" spans="1:11" s="132" customFormat="1" ht="17" thickBot="1" x14ac:dyDescent="0.25">
      <c r="A443" s="155"/>
      <c r="B443" s="195"/>
      <c r="C443" s="196" t="s">
        <v>131</v>
      </c>
      <c r="D443" s="216">
        <f>COUNTA(432:432)</f>
        <v>4</v>
      </c>
      <c r="E443" s="208"/>
      <c r="F443" s="168" t="s">
        <v>78</v>
      </c>
      <c r="G443" s="194" t="s">
        <v>70</v>
      </c>
      <c r="H443" s="264">
        <v>0.23770245014836297</v>
      </c>
      <c r="I443" s="259">
        <v>0.23770244871752902</v>
      </c>
      <c r="J443" s="259">
        <v>4.2091141498469795E-5</v>
      </c>
      <c r="K443" s="259">
        <v>1.99485206692255</v>
      </c>
    </row>
    <row r="444" spans="1:11" s="132" customFormat="1" x14ac:dyDescent="0.2">
      <c r="A444" s="155"/>
      <c r="B444" s="195"/>
      <c r="C444" s="282"/>
      <c r="D444" s="208"/>
      <c r="E444" s="208"/>
    </row>
  </sheetData>
  <sheetProtection algorithmName="SHA-512" hashValue="pN79ppTKw8TOGr82npZp1VDczn1PnLyMhzTitKL9nyk7YLfGPFIgip6Cv8AJW61PGvS0IAuXRvrxUO+hzQ9C8Q==" saltValue="XEdeJ7d4QxZ05Xx9XuqZOA==" spinCount="100000" sheet="1" objects="1" scenarios="1" selectLockedCells="1"/>
  <mergeCells count="95">
    <mergeCell ref="B7:D7"/>
    <mergeCell ref="F440:G440"/>
    <mergeCell ref="F406:G406"/>
    <mergeCell ref="F412:G412"/>
    <mergeCell ref="F420:G420"/>
    <mergeCell ref="F426:G426"/>
    <mergeCell ref="F434:G434"/>
    <mergeCell ref="F370:G370"/>
    <mergeCell ref="F378:G378"/>
    <mergeCell ref="F384:G384"/>
    <mergeCell ref="F392:G392"/>
    <mergeCell ref="F398:G398"/>
    <mergeCell ref="F336:G336"/>
    <mergeCell ref="F342:G342"/>
    <mergeCell ref="F350:G350"/>
    <mergeCell ref="F356:G356"/>
    <mergeCell ref="F154:G154"/>
    <mergeCell ref="F160:G160"/>
    <mergeCell ref="F168:G168"/>
    <mergeCell ref="F174:G174"/>
    <mergeCell ref="F182:G182"/>
    <mergeCell ref="F165:G165"/>
    <mergeCell ref="F179:G179"/>
    <mergeCell ref="F84:G84"/>
    <mergeCell ref="F90:G90"/>
    <mergeCell ref="F48:G48"/>
    <mergeCell ref="F56:G56"/>
    <mergeCell ref="F62:G62"/>
    <mergeCell ref="F70:G70"/>
    <mergeCell ref="F76:G76"/>
    <mergeCell ref="F81:G81"/>
    <mergeCell ref="F11:G11"/>
    <mergeCell ref="F25:G25"/>
    <mergeCell ref="F39:G39"/>
    <mergeCell ref="F53:G53"/>
    <mergeCell ref="F67:G67"/>
    <mergeCell ref="F14:G14"/>
    <mergeCell ref="F20:G20"/>
    <mergeCell ref="F28:G28"/>
    <mergeCell ref="F34:G34"/>
    <mergeCell ref="F42:G42"/>
    <mergeCell ref="F235:G235"/>
    <mergeCell ref="F238:G238"/>
    <mergeCell ref="F244:G244"/>
    <mergeCell ref="F95:G95"/>
    <mergeCell ref="F109:G109"/>
    <mergeCell ref="F123:G123"/>
    <mergeCell ref="F137:G137"/>
    <mergeCell ref="F151:G151"/>
    <mergeCell ref="F98:G98"/>
    <mergeCell ref="F104:G104"/>
    <mergeCell ref="F112:G112"/>
    <mergeCell ref="F118:G118"/>
    <mergeCell ref="F126:G126"/>
    <mergeCell ref="F132:G132"/>
    <mergeCell ref="F140:G140"/>
    <mergeCell ref="F146:G146"/>
    <mergeCell ref="F202:G202"/>
    <mergeCell ref="F210:G210"/>
    <mergeCell ref="F216:G216"/>
    <mergeCell ref="F224:G224"/>
    <mergeCell ref="F230:G230"/>
    <mergeCell ref="F221:G221"/>
    <mergeCell ref="F403:G403"/>
    <mergeCell ref="F417:G417"/>
    <mergeCell ref="F431:G431"/>
    <mergeCell ref="F263:G263"/>
    <mergeCell ref="F277:G277"/>
    <mergeCell ref="F291:G291"/>
    <mergeCell ref="F305:G305"/>
    <mergeCell ref="F319:G319"/>
    <mergeCell ref="F266:G266"/>
    <mergeCell ref="F272:G272"/>
    <mergeCell ref="F280:G280"/>
    <mergeCell ref="F286:G286"/>
    <mergeCell ref="F294:G294"/>
    <mergeCell ref="F364:G364"/>
    <mergeCell ref="F300:G300"/>
    <mergeCell ref="F308:G308"/>
    <mergeCell ref="C2:F4"/>
    <mergeCell ref="F375:G375"/>
    <mergeCell ref="F389:G389"/>
    <mergeCell ref="F252:G252"/>
    <mergeCell ref="F258:G258"/>
    <mergeCell ref="F314:G314"/>
    <mergeCell ref="F322:G322"/>
    <mergeCell ref="F328:G328"/>
    <mergeCell ref="F333:G333"/>
    <mergeCell ref="F347:G347"/>
    <mergeCell ref="F361:G361"/>
    <mergeCell ref="F193:G193"/>
    <mergeCell ref="F207:G207"/>
    <mergeCell ref="F249:G249"/>
    <mergeCell ref="F188:G188"/>
    <mergeCell ref="F196:G196"/>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76</vt:i4>
      </vt:variant>
    </vt:vector>
  </HeadingPairs>
  <TitlesOfParts>
    <vt:vector size="80" baseType="lpstr">
      <vt:lpstr>Menu</vt:lpstr>
      <vt:lpstr>Option Pricing</vt:lpstr>
      <vt:lpstr>Option Strategy</vt:lpstr>
      <vt:lpstr>Default &amp; Saved Strategies</vt:lpstr>
      <vt:lpstr>act</vt:lpstr>
      <vt:lpstr>BinPrice</vt:lpstr>
      <vt:lpstr>Bins</vt:lpstr>
      <vt:lpstr>BSPrice</vt:lpstr>
      <vt:lpstr>cornerProductsTable</vt:lpstr>
      <vt:lpstr>cornerTablePlots</vt:lpstr>
      <vt:lpstr>countsInEachRange</vt:lpstr>
      <vt:lpstr>currentStratName</vt:lpstr>
      <vt:lpstr>CVaR</vt:lpstr>
      <vt:lpstr>d</vt:lpstr>
      <vt:lpstr>DaysYear</vt:lpstr>
      <vt:lpstr>defaultStrat</vt:lpstr>
      <vt:lpstr>delta</vt:lpstr>
      <vt:lpstr>deltaT</vt:lpstr>
      <vt:lpstr>deltaTType</vt:lpstr>
      <vt:lpstr>IV</vt:lpstr>
      <vt:lpstr>K</vt:lpstr>
      <vt:lpstr>K0</vt:lpstr>
      <vt:lpstr>LA</vt:lpstr>
      <vt:lpstr>LC</vt:lpstr>
      <vt:lpstr>LF</vt:lpstr>
      <vt:lpstr>LP</vt:lpstr>
      <vt:lpstr>MC</vt:lpstr>
      <vt:lpstr>MCPnL</vt:lpstr>
      <vt:lpstr>MCPrice</vt:lpstr>
      <vt:lpstr>MCPriceS</vt:lpstr>
      <vt:lpstr>MCStratPrice</vt:lpstr>
      <vt:lpstr>MktPrice</vt:lpstr>
      <vt:lpstr>n</vt:lpstr>
      <vt:lpstr>Nb0</vt:lpstr>
      <vt:lpstr>NbColClear</vt:lpstr>
      <vt:lpstr>NbSimu</vt:lpstr>
      <vt:lpstr>nsigma</vt:lpstr>
      <vt:lpstr>Option</vt:lpstr>
      <vt:lpstr>p0</vt:lpstr>
      <vt:lpstr>pd</vt:lpstr>
      <vt:lpstr>pu</vt:lpstr>
      <vt:lpstr>q</vt:lpstr>
      <vt:lpstr>q0</vt:lpstr>
      <vt:lpstr>r0</vt:lpstr>
      <vt:lpstr>rangeBounders</vt:lpstr>
      <vt:lpstr>rankingValues</vt:lpstr>
      <vt:lpstr>resT</vt:lpstr>
      <vt:lpstr>riskfree</vt:lpstr>
      <vt:lpstr>rT</vt:lpstr>
      <vt:lpstr>S</vt:lpstr>
      <vt:lpstr>S0</vt:lpstr>
      <vt:lpstr>SA</vt:lpstr>
      <vt:lpstr>SC</vt:lpstr>
      <vt:lpstr>SF</vt:lpstr>
      <vt:lpstr>shorted</vt:lpstr>
      <vt:lpstr>sigma</vt:lpstr>
      <vt:lpstr>sigma0</vt:lpstr>
      <vt:lpstr>SP</vt:lpstr>
      <vt:lpstr>stratDelta</vt:lpstr>
      <vt:lpstr>stratGamma</vt:lpstr>
      <vt:lpstr>stratInitialCost</vt:lpstr>
      <vt:lpstr>stratNames</vt:lpstr>
      <vt:lpstr>stratPayoff</vt:lpstr>
      <vt:lpstr>stratPnL</vt:lpstr>
      <vt:lpstr>stratProductsTable</vt:lpstr>
      <vt:lpstr>stratRho</vt:lpstr>
      <vt:lpstr>stratTheta</vt:lpstr>
      <vt:lpstr>stratVega</vt:lpstr>
      <vt:lpstr>T</vt:lpstr>
      <vt:lpstr>T0</vt:lpstr>
      <vt:lpstr>tableCorner</vt:lpstr>
      <vt:lpstr>tableCornerPlots</vt:lpstr>
      <vt:lpstr>Total</vt:lpstr>
      <vt:lpstr>TotalNbBins</vt:lpstr>
      <vt:lpstr>TotalNbStrat</vt:lpstr>
      <vt:lpstr>Type</vt:lpstr>
      <vt:lpstr>u</vt:lpstr>
      <vt:lpstr>useTheoreticalPrices</vt:lpstr>
      <vt:lpstr>VaR</vt:lpstr>
      <vt:lpstr>VaRProba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FOURÉ Guillaume</dc:creator>
  <cp:lastModifiedBy>FOURÉ Guillaume</cp:lastModifiedBy>
  <dcterms:created xsi:type="dcterms:W3CDTF">2020-08-11T13:46:26Z</dcterms:created>
  <dcterms:modified xsi:type="dcterms:W3CDTF">2022-05-04T14:26:28Z</dcterms:modified>
</cp:coreProperties>
</file>